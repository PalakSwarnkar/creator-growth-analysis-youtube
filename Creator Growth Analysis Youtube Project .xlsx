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lak\Downloads\Excel\EXCEL PROJECTS\"/>
    </mc:Choice>
  </mc:AlternateContent>
  <xr:revisionPtr revIDLastSave="0" documentId="13_ncr:1_{49C411F0-86B6-4328-9461-A3495C9AD03D}" xr6:coauthVersionLast="47" xr6:coauthVersionMax="47" xr10:uidLastSave="{00000000-0000-0000-0000-000000000000}"/>
  <bookViews>
    <workbookView xWindow="-108" yWindow="-108" windowWidth="23256" windowHeight="12456" activeTab="1" xr2:uid="{6F1CA0D4-0E21-48DB-A6B9-6D685353E377}"/>
  </bookViews>
  <sheets>
    <sheet name="24hr project" sheetId="1" r:id="rId1"/>
    <sheet name="Positive Insights " sheetId="2" r:id="rId2"/>
    <sheet name="Negative Insights" sheetId="3" r:id="rId3"/>
    <sheet name="Surprising Insight" sheetId="4" r:id="rId4"/>
  </sheets>
  <definedNames>
    <definedName name="Yt_data1">Table2[#All]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<sst xmlns="http://schemas.openxmlformats.org/spreadsheetml/2006/main" count="168" uniqueCount="84">
  <si>
    <t>Channel</t>
  </si>
  <si>
    <t>Video_ID</t>
  </si>
  <si>
    <t>Title_Style</t>
  </si>
  <si>
    <t>Thumbnail_Description</t>
  </si>
  <si>
    <t>Upload_Time</t>
  </si>
  <si>
    <t>Video_Length_Min</t>
  </si>
  <si>
    <t>Views</t>
  </si>
  <si>
    <t>CTR_Percent</t>
  </si>
  <si>
    <t>Avg_Watch_Time(Minute)</t>
  </si>
  <si>
    <t>Retention_30s_Percent</t>
  </si>
  <si>
    <t>Retention_End_Percent</t>
  </si>
  <si>
    <t>CTR %</t>
  </si>
  <si>
    <t>30sRetention%</t>
  </si>
  <si>
    <t>End Retention%</t>
  </si>
  <si>
    <t>Watch Time Ratio</t>
  </si>
  <si>
    <t>Your_Channel</t>
  </si>
  <si>
    <t>YC01</t>
  </si>
  <si>
    <t>Curiosity</t>
  </si>
  <si>
    <t>Face with shocked expression</t>
  </si>
  <si>
    <t>Evening</t>
  </si>
  <si>
    <t>YC02</t>
  </si>
  <si>
    <t>Clear</t>
  </si>
  <si>
    <t>Simple text + icon</t>
  </si>
  <si>
    <t>Morning</t>
  </si>
  <si>
    <t>YC03</t>
  </si>
  <si>
    <t>Clickbait</t>
  </si>
  <si>
    <t>Too much text</t>
  </si>
  <si>
    <t>Night</t>
  </si>
  <si>
    <t>YC04</t>
  </si>
  <si>
    <t>Product image</t>
  </si>
  <si>
    <t>YC05</t>
  </si>
  <si>
    <t>Face with arrows</t>
  </si>
  <si>
    <t>YC06</t>
  </si>
  <si>
    <t>Generic</t>
  </si>
  <si>
    <t>Plain background</t>
  </si>
  <si>
    <t>YC07</t>
  </si>
  <si>
    <t>Face but unclear emotion</t>
  </si>
  <si>
    <t>YC08</t>
  </si>
  <si>
    <t>Bright colors + text</t>
  </si>
  <si>
    <t>Competitor_A</t>
  </si>
  <si>
    <t>CA01</t>
  </si>
  <si>
    <t>Expressive face</t>
  </si>
  <si>
    <t>CA02</t>
  </si>
  <si>
    <t>Diagram style thumbnail</t>
  </si>
  <si>
    <t>CA03</t>
  </si>
  <si>
    <t>Overloaded words</t>
  </si>
  <si>
    <t>CA04</t>
  </si>
  <si>
    <t>Minimal text</t>
  </si>
  <si>
    <t>CA05</t>
  </si>
  <si>
    <t>Low contrast image</t>
  </si>
  <si>
    <t>CA06</t>
  </si>
  <si>
    <t>Face partially hidden</t>
  </si>
  <si>
    <t>CA07</t>
  </si>
  <si>
    <t>Simple icon + text</t>
  </si>
  <si>
    <t>CA08</t>
  </si>
  <si>
    <t>Red arrows + text</t>
  </si>
  <si>
    <t>Competitor_B</t>
  </si>
  <si>
    <t>CB01</t>
  </si>
  <si>
    <t>Human face close-up</t>
  </si>
  <si>
    <t>CB02</t>
  </si>
  <si>
    <t>Step-by-step visual</t>
  </si>
  <si>
    <t>CB03</t>
  </si>
  <si>
    <t>Large text blocks</t>
  </si>
  <si>
    <t>CB04</t>
  </si>
  <si>
    <t>Object-focused image</t>
  </si>
  <si>
    <t>CB05</t>
  </si>
  <si>
    <t>Low effort thumbnail</t>
  </si>
  <si>
    <t>CB06</t>
  </si>
  <si>
    <t>Face + question mark</t>
  </si>
  <si>
    <t>CB07</t>
  </si>
  <si>
    <t>Minimal text + image</t>
  </si>
  <si>
    <t>CB08</t>
  </si>
  <si>
    <t>Bright colors overload</t>
  </si>
  <si>
    <t>Average of CTR %</t>
  </si>
  <si>
    <t>CTR (%)</t>
  </si>
  <si>
    <t>5-9</t>
  </si>
  <si>
    <t>10-15</t>
  </si>
  <si>
    <t>Watch Time Ratio(%)</t>
  </si>
  <si>
    <t>End Retention(%)</t>
  </si>
  <si>
    <t>Title Style</t>
  </si>
  <si>
    <t>Thumbnail Description</t>
  </si>
  <si>
    <t>30 sec Retention(%)</t>
  </si>
  <si>
    <t>Video Length (mins)</t>
  </si>
  <si>
    <t>Max Watch Time(Min)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</si>
</sst>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left"/>
    </xf>
    <xf numFmtId="10" fontId="0" fillId="33" borderId="0" xfId="0" applyNumberFormat="1" applyFill="1"/>
    <xf numFmtId="9" fontId="0" fillId="33" borderId="0" xfId="0" applyNumberFormat="1" applyFill="1"/>
    <xf numFmtId="164" fontId="0" fillId="33" borderId="0" xfId="0" applyNumberFormat="1" applyFill="1"/>
    <xf numFmtId="165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9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4" formatCode="0.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5" formatCode="0.0%"/>
    </dxf>
    <dxf>
      <numFmt numFmtId="165" formatCode="0.0%"/>
    </dxf>
    <dxf>
      <numFmt numFmtId="165" formatCode="0.0%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4" formatCode="0.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5" formatCode="0.0%"/>
    </dxf>
    <dxf>
      <numFmt numFmtId="165" formatCode="0.0%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64" formatCode="0.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64" formatCode="0.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[24hr yt project.xlsx]Positive Insights 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3655913978494623E-2"/>
          <c:y val="0.23856799037304452"/>
          <c:w val="0.8893797260173284"/>
          <c:h val="0.651935813979931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'Positive Insights '!$C$19</c:f>
              <c:strCache>
                <c:ptCount val="1"/>
                <c:pt idx="0">
                  <c:v>CTR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'Positive Insights '!$B$20:$B$23</c:f>
              <c:strCache>
                <c:ptCount val="4"/>
                <c:pt idx="0">
                  <c:v>Clear</c:v>
                </c:pt>
                <c:pt idx="1">
                  <c:v>Clickbait</c:v>
                </c:pt>
                <c:pt idx="2">
                  <c:v>Curiosity</c:v>
                </c:pt>
                <c:pt idx="3">
                  <c:v>Generic</c:v>
                </c:pt>
              </c:strCache>
            </c:strRef>
          </c:cat>
          <c:val>
            <c:numRef>
              <c:f>'Positive Insights '!$C$20:$C$23</c:f>
              <c:numCache>
                <c:formatCode>0.00%</c:formatCode>
                <c:ptCount val="4"/>
                <c:pt idx="0">
                  <c:v>5.1124999999999997E-2</c:v>
                </c:pt>
                <c:pt idx="1">
                  <c:v>9.849999999999999E-2</c:v>
                </c:pt>
                <c:pt idx="2">
                  <c:v>7.4428571428571427E-2</c:v>
                </c:pt>
                <c:pt idx="3">
                  <c:v>3.5999999999999997E-2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A7-4B69-AB1C-802B07F2A92D}"/>
            </c:ext>
          </c:extLst>
        </c:ser>
        <c:ser>
          <c:idx val="1"/>
          <c:order val="1"/>
          <c:tx>
            <c:strRef>
              <c:f>'Positive Insights '!$D$19</c:f>
              <c:strCache>
                <c:ptCount val="1"/>
                <c:pt idx="0">
                  <c:v>30 sec Retention(%)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'Positive Insights '!$B$20:$B$23</c:f>
              <c:strCache>
                <c:ptCount val="4"/>
                <c:pt idx="0">
                  <c:v>Clear</c:v>
                </c:pt>
                <c:pt idx="1">
                  <c:v>Clickbait</c:v>
                </c:pt>
                <c:pt idx="2">
                  <c:v>Curiosity</c:v>
                </c:pt>
                <c:pt idx="3">
                  <c:v>Generic</c:v>
                </c:pt>
              </c:strCache>
            </c:strRef>
          </c:cat>
          <c:val>
            <c:numRef>
              <c:f>'Positive Insights '!$D$20:$D$23</c:f>
              <c:numCache>
                <c:formatCode>0%</c:formatCode>
                <c:ptCount val="4"/>
                <c:pt idx="0">
                  <c:v>0.84500000000000008</c:v>
                </c:pt>
                <c:pt idx="1">
                  <c:v>0.55499999999999994</c:v>
                </c:pt>
                <c:pt idx="2">
                  <c:v>0.72571428571428576</c:v>
                </c:pt>
                <c:pt idx="3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A7-4B69-AB1C-802B07F2A9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6746032"/>
        <c:axId val="1451367536"/>
      </c:barChart>
      <c:catAx>
        <c:axId val="161674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67536"/>
        <c:crosses val="autoZero"/>
        <c:auto val="1"/>
        <c:lblAlgn val="ctr"/>
        <c:lblOffset val="100"/>
        <c:noMultiLvlLbl val="0"/>
      </c:catAx>
      <c:valAx>
        <c:axId val="145136753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1674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93465111589034"/>
          <c:y val="1.8705097994137596E-2"/>
          <c:w val="0.20716728272117974"/>
          <c:h val="0.308699733701170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[24hr yt project.xlsx]Positive Insights 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18390494904703064"/>
          <c:w val="1"/>
          <c:h val="0.642418340945815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'Positive Insights '!$O$20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'Positive Insights '!$N$21:$N$22</c:f>
              <c:strCache>
                <c:ptCount val="2"/>
                <c:pt idx="0">
                  <c:v>5-9</c:v>
                </c:pt>
                <c:pt idx="1">
                  <c:v>10-15</c:v>
                </c:pt>
              </c:strCache>
            </c:strRef>
          </c:cat>
          <c:val>
            <c:numRef>
              <c:f>'Positive Insights '!$O$21:$O$22</c:f>
              <c:numCache>
                <c:formatCode>0.00%</c:formatCode>
                <c:ptCount val="2"/>
                <c:pt idx="0">
                  <c:v>0.58080000000000009</c:v>
                </c:pt>
                <c:pt idx="1">
                  <c:v>0.48685714285714282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8-4376-87CE-2C783F80D2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4258240"/>
        <c:axId val="1454257280"/>
      </c:barChart>
      <c:catAx>
        <c:axId val="1454258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/>
                  <a:t>Video Length (mins</a:t>
                </a:r>
                <a:r>
                  <a:rPr lang="en-IN"/>
                  <a:t>)</a:t>
                </a:r>
              </a:p>
            </c:rich>
          </c:tx>
          <c:layout>
            <c:manualLayout>
              <c:xMode val="edge"/>
              <c:yMode val="edge"/>
              <c:x val="0.40632000207894803"/>
              <c:y val="0.873507246376811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257280"/>
        <c:crosses val="autoZero"/>
        <c:auto val="1"/>
        <c:lblAlgn val="ctr"/>
        <c:lblOffset val="100"/>
        <c:noMultiLvlLbl val="0"/>
      </c:catAx>
      <c:valAx>
        <c:axId val="145425728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5425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[24hr yt project.xlsx]Negative Insights!PivotTable3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'Negative Insights'!$C$23</c:f>
              <c:strCache>
                <c:ptCount val="1"/>
                <c:pt idx="0">
                  <c:v>End Retention(%)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'Negative Insights'!$B$24:$B$27</c:f>
              <c:strCache>
                <c:ptCount val="4"/>
                <c:pt idx="0">
                  <c:v>Clear</c:v>
                </c:pt>
                <c:pt idx="1">
                  <c:v>Clickbait</c:v>
                </c:pt>
                <c:pt idx="2">
                  <c:v>Curiosity</c:v>
                </c:pt>
                <c:pt idx="3">
                  <c:v>Generic</c:v>
                </c:pt>
              </c:strCache>
            </c:strRef>
          </c:cat>
          <c:val>
            <c:numRef>
              <c:f>'Negative Insights'!$C$24:$C$27</c:f>
              <c:numCache>
                <c:formatCode>0%</c:formatCode>
                <c:ptCount val="4"/>
                <c:pt idx="0">
                  <c:v>0.4425</c:v>
                </c:pt>
                <c:pt idx="1">
                  <c:v>0.12833333333333333</c:v>
                </c:pt>
                <c:pt idx="2">
                  <c:v>0.26142857142857145</c:v>
                </c:pt>
                <c:pt idx="3">
                  <c:v>0.19000000000000003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1-40FF-BF34-5DEA1DDB3E8C}"/>
            </c:ext>
          </c:extLst>
        </c:ser>
        <c:ser>
          <c:idx val="1"/>
          <c:order val="1"/>
          <c:tx>
            <c:strRef>
              <c:f>'Negative Insights'!$D$23</c:f>
              <c:strCache>
                <c:ptCount val="1"/>
                <c:pt idx="0">
                  <c:v>CTR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'Negative Insights'!$B$24:$B$27</c:f>
              <c:strCache>
                <c:ptCount val="4"/>
                <c:pt idx="0">
                  <c:v>Clear</c:v>
                </c:pt>
                <c:pt idx="1">
                  <c:v>Clickbait</c:v>
                </c:pt>
                <c:pt idx="2">
                  <c:v>Curiosity</c:v>
                </c:pt>
                <c:pt idx="3">
                  <c:v>Generic</c:v>
                </c:pt>
              </c:strCache>
            </c:strRef>
          </c:cat>
          <c:val>
            <c:numRef>
              <c:f>'Negative Insights'!$D$24:$D$27</c:f>
              <c:numCache>
                <c:formatCode>0.00%</c:formatCode>
                <c:ptCount val="4"/>
                <c:pt idx="0">
                  <c:v>5.1124999999999997E-2</c:v>
                </c:pt>
                <c:pt idx="1">
                  <c:v>9.849999999999999E-2</c:v>
                </c:pt>
                <c:pt idx="2">
                  <c:v>7.4428571428571427E-2</c:v>
                </c:pt>
                <c:pt idx="3">
                  <c:v>3.5999999999999997E-2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1-40FF-BF34-5DEA1DDB3E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1323216"/>
        <c:axId val="1721323696"/>
      </c:barChart>
      <c:catAx>
        <c:axId val="172132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323696"/>
        <c:crosses val="autoZero"/>
        <c:auto val="1"/>
        <c:lblAlgn val="ctr"/>
        <c:lblOffset val="100"/>
        <c:noMultiLvlLbl val="0"/>
      </c:catAx>
      <c:valAx>
        <c:axId val="17213236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2132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26151196585009"/>
          <c:y val="0.13041359651393353"/>
          <c:w val="0.16073041375863528"/>
          <c:h val="0.176106179419355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[24hr yt project.xlsx]Negative Insights!PivotTable4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'Negative Insights'!$O$24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'Negative Insights'!$N$25:$N$29</c:f>
              <c:strCache>
                <c:ptCount val="5"/>
                <c:pt idx="0">
                  <c:v>Low contrast image</c:v>
                </c:pt>
                <c:pt idx="1">
                  <c:v>Low effort thumbnail</c:v>
                </c:pt>
                <c:pt idx="2">
                  <c:v>Minimal text</c:v>
                </c:pt>
                <c:pt idx="3">
                  <c:v>Object-focused image</c:v>
                </c:pt>
                <c:pt idx="4">
                  <c:v>Plain background</c:v>
                </c:pt>
              </c:strCache>
            </c:strRef>
          </c:cat>
          <c:val>
            <c:numRef>
              <c:f>'Negative Insights'!$O$25:$O$29</c:f>
              <c:numCache>
                <c:formatCode>0.00%</c:formatCode>
                <c:ptCount val="5"/>
                <c:pt idx="0">
                  <c:v>3.5999999999999997E-2</c:v>
                </c:pt>
                <c:pt idx="1">
                  <c:v>3.4000000000000002E-2</c:v>
                </c:pt>
                <c:pt idx="2">
                  <c:v>4.8000000000000001E-2</c:v>
                </c:pt>
                <c:pt idx="3">
                  <c:v>4.5999999999999999E-2</c:v>
                </c:pt>
                <c:pt idx="4">
                  <c:v>3.7999999999999999E-2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3-4C5E-BEC2-B451C99E4B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0229456"/>
        <c:axId val="1610229936"/>
      </c:barChart>
      <c:catAx>
        <c:axId val="161022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229936"/>
        <c:crosses val="autoZero"/>
        <c:auto val="1"/>
        <c:lblAlgn val="ctr"/>
        <c:lblOffset val="100"/>
        <c:noMultiLvlLbl val="0"/>
      </c:catAx>
      <c:valAx>
        <c:axId val="161022993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61022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[24hr yt project.xlsx]Surprising Insight!PivotTable5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'Surprising Insight'!$M$6</c:f>
              <c:strCache>
                <c:ptCount val="1"/>
                <c:pt idx="0">
                  <c:v>CTR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'Surprising Insight'!$L$7:$L$10</c:f>
              <c:strCache>
                <c:ptCount val="4"/>
                <c:pt idx="0">
                  <c:v>Clear</c:v>
                </c:pt>
                <c:pt idx="1">
                  <c:v>Clickbait</c:v>
                </c:pt>
                <c:pt idx="2">
                  <c:v>Curiosity</c:v>
                </c:pt>
                <c:pt idx="3">
                  <c:v>Generic</c:v>
                </c:pt>
              </c:strCache>
            </c:strRef>
          </c:cat>
          <c:val>
            <c:numRef>
              <c:f>'Surprising Insight'!$M$7:$M$10</c:f>
              <c:numCache>
                <c:formatCode>0.0%</c:formatCode>
                <c:ptCount val="4"/>
                <c:pt idx="0">
                  <c:v>5.1124999999999997E-2</c:v>
                </c:pt>
                <c:pt idx="1">
                  <c:v>9.849999999999999E-2</c:v>
                </c:pt>
                <c:pt idx="2">
                  <c:v>7.4428571428571427E-2</c:v>
                </c:pt>
                <c:pt idx="3">
                  <c:v>3.5999999999999997E-2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F-4169-8D04-4326359D8A82}"/>
            </c:ext>
          </c:extLst>
        </c:ser>
        <c:ser>
          <c:idx val="1"/>
          <c:order val="1"/>
          <c:tx>
            <c:strRef>
              <c:f>'Surprising Insight'!$N$6</c:f>
              <c:strCache>
                <c:ptCount val="1"/>
                <c:pt idx="0">
                  <c:v>Max Watch Time(Min)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'Surprising Insight'!$L$7:$L$10</c:f>
              <c:strCache>
                <c:ptCount val="4"/>
                <c:pt idx="0">
                  <c:v>Clear</c:v>
                </c:pt>
                <c:pt idx="1">
                  <c:v>Clickbait</c:v>
                </c:pt>
                <c:pt idx="2">
                  <c:v>Curiosity</c:v>
                </c:pt>
                <c:pt idx="3">
                  <c:v>Generic</c:v>
                </c:pt>
              </c:strCache>
            </c:strRef>
          </c:cat>
          <c:val>
            <c:numRef>
              <c:f>'Surprising Insight'!$N$7:$N$10</c:f>
              <c:numCache>
                <c:formatCode>0.0</c:formatCode>
                <c:ptCount val="4"/>
                <c:pt idx="0">
                  <c:v>7.5875000000000004</c:v>
                </c:pt>
                <c:pt idx="1">
                  <c:v>3.4166666666666665</c:v>
                </c:pt>
                <c:pt idx="2">
                  <c:v>4.8</c:v>
                </c:pt>
                <c:pt idx="3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F-4169-8D04-4326359D8A82}"/>
            </c:ext>
          </c:extLst>
        </c:ser>
        <c:ser>
          <c:idx val="2"/>
          <c:order val="2"/>
          <c:tx>
            <c:strRef>
              <c:f>'Surprising Insight'!$O$6</c:f>
              <c:strCache>
                <c:ptCount val="1"/>
                <c:pt idx="0">
                  <c:v>Watch Time Ratio(%)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'Surprising Insight'!$L$7:$L$10</c:f>
              <c:strCache>
                <c:ptCount val="4"/>
                <c:pt idx="0">
                  <c:v>Clear</c:v>
                </c:pt>
                <c:pt idx="1">
                  <c:v>Clickbait</c:v>
                </c:pt>
                <c:pt idx="2">
                  <c:v>Curiosity</c:v>
                </c:pt>
                <c:pt idx="3">
                  <c:v>Generic</c:v>
                </c:pt>
              </c:strCache>
            </c:strRef>
          </c:cat>
          <c:val>
            <c:numRef>
              <c:f>'Surprising Insight'!$O$7:$O$10</c:f>
              <c:numCache>
                <c:formatCode>0.0%</c:formatCode>
                <c:ptCount val="4"/>
                <c:pt idx="0">
                  <c:v>0.58237500000000009</c:v>
                </c:pt>
                <c:pt idx="1">
                  <c:v>0.34233333333333332</c:v>
                </c:pt>
                <c:pt idx="2">
                  <c:v>0.66785714285714293</c:v>
                </c:pt>
                <c:pt idx="3">
                  <c:v>0.41199999999999998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FF-4169-8D04-4326359D8A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0044240"/>
        <c:axId val="1852791248"/>
      </c:barChart>
      <c:catAx>
        <c:axId val="111004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791248"/>
        <c:crosses val="autoZero"/>
        <c:auto val="1"/>
        <c:lblAlgn val="ctr"/>
        <c:lblOffset val="100"/>
        <c:noMultiLvlLbl val="0"/>
      </c:catAx>
      <c:valAx>
        <c:axId val="1852791248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11004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55687783345281"/>
          <c:y val="0.10382039034220247"/>
          <c:w val="0.18403157504617479"/>
          <c:h val="0.211467645491681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531495</xdr:colOff>
      <xdr:row>0</xdr:row>
      <xdr:rowOff>257175</xdr:rowOff>
    </xdr:from>
    <xdr:to>
      <xdr:col>14</xdr:col>
      <xdr:colOff>600075</xdr:colOff>
      <xdr:row>3</xdr:row>
      <xdr:rowOff>139065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BFD0B5E-69A1-6D0A-B256-B816BB9E4558}"/>
            </a:ext>
          </a:extLst>
        </xdr:cNvPr>
        <xdr:cNvSpPr/>
      </xdr:nvSpPr>
      <xdr:spPr>
        <a:xfrm>
          <a:off x="6656070" y="257175"/>
          <a:ext cx="4554855" cy="73914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/>
            <a:t>Positive Insights </a:t>
          </a:r>
        </a:p>
      </xdr:txBody>
    </xdr:sp>
    <xdr:clientData/>
  </xdr:twoCellAnchor>
  <xdr:twoCellAnchor>
    <xdr:from>
      <xdr:col>1</xdr:col>
      <xdr:colOff>327660</xdr:colOff>
      <xdr:row>1</xdr:row>
      <xdr:rowOff>108585</xdr:rowOff>
    </xdr:from>
    <xdr:to>
      <xdr:col>9</xdr:col>
      <xdr:colOff>76200</xdr:colOff>
      <xdr:row>3</xdr:row>
      <xdr:rowOff>123825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19D17A6-7CC6-D320-07D7-20805B75D3EE}"/>
            </a:ext>
          </a:extLst>
        </xdr:cNvPr>
        <xdr:cNvSpPr/>
      </xdr:nvSpPr>
      <xdr:spPr>
        <a:xfrm>
          <a:off x="718185" y="289560"/>
          <a:ext cx="5482590" cy="37719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Which Titles Help People Click and Stay for the First 30 Seconds?</a:t>
          </a:r>
        </a:p>
      </xdr:txBody>
    </xdr:sp>
    <xdr:clientData/>
  </xdr:twoCellAnchor>
  <xdr:twoCellAnchor>
    <xdr:from>
      <xdr:col>4</xdr:col>
      <xdr:colOff>175260</xdr:colOff>
      <xdr:row>16</xdr:row>
      <xdr:rowOff>144780</xdr:rowOff>
    </xdr:from>
    <xdr:to>
      <xdr:col>12</xdr:col>
      <xdr:colOff>403860</xdr:colOff>
      <xdr:row>29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1332AF4-D93A-0368-6402-ECD9508251C6}"/>
            </a:ext>
          </a:extLst>
        </xdr:cNvPr>
        <xdr:cNvSpPr/>
      </xdr:nvSpPr>
      <xdr:spPr>
        <a:xfrm>
          <a:off x="3251835" y="3040380"/>
          <a:ext cx="5105400" cy="227457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b="1">
              <a:solidFill>
                <a:schemeClr val="tx1"/>
              </a:solidFill>
            </a:rPr>
            <a:t>Details</a:t>
          </a:r>
        </a:p>
        <a:p>
          <a:r>
            <a:rPr lang="en-IN" b="1">
              <a:solidFill>
                <a:schemeClr val="tx1"/>
              </a:solidFill>
            </a:rPr>
            <a:t>What I observe:</a:t>
          </a:r>
          <a:br>
            <a:rPr lang="en-IN">
              <a:solidFill>
                <a:schemeClr val="tx1"/>
              </a:solidFill>
            </a:rPr>
          </a:br>
          <a:r>
            <a:rPr lang="en-IN">
              <a:solidFill>
                <a:schemeClr val="tx1"/>
              </a:solidFill>
            </a:rPr>
            <a:t>Videos with curiosity-based or clear titles have better 30-second retention compared to generic titles.</a:t>
          </a:r>
        </a:p>
        <a:p>
          <a:endParaRPr lang="en-IN">
            <a:solidFill>
              <a:schemeClr val="tx1"/>
            </a:solidFill>
          </a:endParaRPr>
        </a:p>
        <a:p>
          <a:r>
            <a:rPr lang="en-IN" b="1">
              <a:solidFill>
                <a:schemeClr val="tx1"/>
              </a:solidFill>
            </a:rPr>
            <a:t>Why this is a positive:</a:t>
          </a:r>
          <a:br>
            <a:rPr lang="en-IN">
              <a:solidFill>
                <a:schemeClr val="tx1"/>
              </a:solidFill>
            </a:rPr>
          </a:br>
          <a:r>
            <a:rPr lang="en-IN">
              <a:solidFill>
                <a:schemeClr val="tx1"/>
              </a:solidFill>
            </a:rPr>
            <a:t>Clear or curious titles help viewers quickly understand if the video is relevant, so they don’t leave immediately.</a:t>
          </a:r>
        </a:p>
        <a:p>
          <a:endParaRPr lang="en-IN" b="1">
            <a:solidFill>
              <a:schemeClr val="tx1"/>
            </a:solidFill>
          </a:endParaRPr>
        </a:p>
        <a:p>
          <a:r>
            <a:rPr lang="en-IN" b="1">
              <a:solidFill>
                <a:schemeClr val="tx1"/>
              </a:solidFill>
            </a:rPr>
            <a:t>What this implies:</a:t>
          </a:r>
          <a:br>
            <a:rPr lang="en-IN">
              <a:solidFill>
                <a:schemeClr val="tx1"/>
              </a:solidFill>
            </a:rPr>
          </a:br>
          <a:r>
            <a:rPr lang="en-IN">
              <a:solidFill>
                <a:schemeClr val="tx1"/>
              </a:solidFill>
            </a:rPr>
            <a:t>Good titles bring the right viewers and reduce early drop-offs, even if they don’t affect long-term retention.</a:t>
          </a: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247650</xdr:colOff>
      <xdr:row>5</xdr:row>
      <xdr:rowOff>1905</xdr:rowOff>
    </xdr:from>
    <xdr:to>
      <xdr:col>10</xdr:col>
      <xdr:colOff>306705</xdr:colOff>
      <xdr:row>16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9426A8-629F-1DC5-10FD-54E6C8FE8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1114425</xdr:colOff>
      <xdr:row>4</xdr:row>
      <xdr:rowOff>38101</xdr:rowOff>
    </xdr:from>
    <xdr:to>
      <xdr:col>24</xdr:col>
      <xdr:colOff>114300</xdr:colOff>
      <xdr:row>16</xdr:row>
      <xdr:rowOff>57151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3FFB46-03B2-CAFA-F349-AC63D1733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1013460</xdr:colOff>
      <xdr:row>1</xdr:row>
      <xdr:rowOff>108585</xdr:rowOff>
    </xdr:from>
    <xdr:to>
      <xdr:col>23</xdr:col>
      <xdr:colOff>285750</xdr:colOff>
      <xdr:row>3</xdr:row>
      <xdr:rowOff>152400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D622BDA-B212-407A-BD70-FE50D61847A6}"/>
            </a:ext>
          </a:extLst>
        </xdr:cNvPr>
        <xdr:cNvSpPr/>
      </xdr:nvSpPr>
      <xdr:spPr>
        <a:xfrm>
          <a:off x="11624310" y="289560"/>
          <a:ext cx="5434965" cy="40576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tx1"/>
              </a:solidFill>
            </a:rPr>
            <a:t>Do Shorter Videos Keep Viewers Engaged Longer?</a:t>
          </a:r>
        </a:p>
      </xdr:txBody>
    </xdr:sp>
    <xdr:clientData/>
  </xdr:twoCellAnchor>
  <xdr:twoCellAnchor>
    <xdr:from>
      <xdr:col>16</xdr:col>
      <xdr:colOff>85726</xdr:colOff>
      <xdr:row>18</xdr:row>
      <xdr:rowOff>87842</xdr:rowOff>
    </xdr:from>
    <xdr:to>
      <xdr:col>23</xdr:col>
      <xdr:colOff>19050</xdr:colOff>
      <xdr:row>30</xdr:row>
      <xdr:rowOff>114300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1182E65-8731-4BA1-8A77-0AD29FC98273}"/>
            </a:ext>
          </a:extLst>
        </xdr:cNvPr>
        <xdr:cNvSpPr/>
      </xdr:nvSpPr>
      <xdr:spPr>
        <a:xfrm>
          <a:off x="12592051" y="3345392"/>
          <a:ext cx="4200524" cy="219815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Details</a:t>
          </a:r>
          <a:endParaRPr lang="en-IN" b="1">
            <a:solidFill>
              <a:schemeClr val="tx1"/>
            </a:solidFill>
          </a:endParaRPr>
        </a:p>
        <a:p>
          <a:r>
            <a:rPr lang="en-IN" b="1">
              <a:solidFill>
                <a:schemeClr val="tx1"/>
              </a:solidFill>
            </a:rPr>
            <a:t>What I observe:</a:t>
          </a:r>
          <a:br>
            <a:rPr lang="en-IN">
              <a:solidFill>
                <a:schemeClr val="tx1"/>
              </a:solidFill>
            </a:rPr>
          </a:br>
          <a:r>
            <a:rPr lang="en-IN">
              <a:solidFill>
                <a:schemeClr val="tx1"/>
              </a:solidFill>
            </a:rPr>
            <a:t>Shorter videos have a higher watch-time ratio than longer videos.</a:t>
          </a:r>
        </a:p>
        <a:p>
          <a:endParaRPr lang="en-IN">
            <a:solidFill>
              <a:schemeClr val="tx1"/>
            </a:solidFill>
          </a:endParaRPr>
        </a:p>
        <a:p>
          <a:r>
            <a:rPr lang="en-IN" b="1">
              <a:solidFill>
                <a:schemeClr val="tx1"/>
              </a:solidFill>
            </a:rPr>
            <a:t>Why this is positive:</a:t>
          </a:r>
          <a:br>
            <a:rPr lang="en-IN">
              <a:solidFill>
                <a:schemeClr val="tx1"/>
              </a:solidFill>
            </a:rPr>
          </a:br>
          <a:r>
            <a:rPr lang="en-IN">
              <a:solidFill>
                <a:schemeClr val="tx1"/>
              </a:solidFill>
            </a:rPr>
            <a:t>Short videos are easier to finish, so viewers stay engaged for most of the video.</a:t>
          </a:r>
        </a:p>
        <a:p>
          <a:endParaRPr lang="en-IN">
            <a:solidFill>
              <a:schemeClr val="tx1"/>
            </a:solidFill>
          </a:endParaRPr>
        </a:p>
        <a:p>
          <a:r>
            <a:rPr lang="en-IN" b="1">
              <a:solidFill>
                <a:schemeClr val="tx1"/>
              </a:solidFill>
            </a:rPr>
            <a:t>What this implies:</a:t>
          </a:r>
          <a:br>
            <a:rPr lang="en-IN">
              <a:solidFill>
                <a:schemeClr val="tx1"/>
              </a:solidFill>
            </a:rPr>
          </a:br>
          <a:r>
            <a:rPr lang="en-IN">
              <a:solidFill>
                <a:schemeClr val="tx1"/>
              </a:solidFill>
            </a:rPr>
            <a:t>Keeping videos short and focused improves engagement quality.</a:t>
          </a:r>
        </a:p>
        <a:p>
          <a:endParaRPr lang="en-IN">
            <a:solidFill>
              <a:schemeClr val="tx1"/>
            </a:solidFill>
          </a:endParaRPr>
        </a:p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598394</xdr:colOff>
      <xdr:row>0</xdr:row>
      <xdr:rowOff>224117</xdr:rowOff>
    </xdr:from>
    <xdr:to>
      <xdr:col>13</xdr:col>
      <xdr:colOff>1039906</xdr:colOff>
      <xdr:row>2</xdr:row>
      <xdr:rowOff>26894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E46BDF1-5EDA-2056-FD37-3BABADF4556B}"/>
            </a:ext>
          </a:extLst>
        </xdr:cNvPr>
        <xdr:cNvSpPr/>
      </xdr:nvSpPr>
      <xdr:spPr>
        <a:xfrm>
          <a:off x="5878606" y="224117"/>
          <a:ext cx="3489512" cy="645459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ysClr val="windowText" lastClr="000000"/>
              </a:solidFill>
            </a:rPr>
            <a:t>Negative Insights</a:t>
          </a:r>
        </a:p>
      </xdr:txBody>
    </xdr:sp>
    <xdr:clientData/>
  </xdr:twoCellAnchor>
  <xdr:twoCellAnchor>
    <xdr:from>
      <xdr:col>1</xdr:col>
      <xdr:colOff>98613</xdr:colOff>
      <xdr:row>2</xdr:row>
      <xdr:rowOff>17930</xdr:rowOff>
    </xdr:from>
    <xdr:to>
      <xdr:col>8</xdr:col>
      <xdr:colOff>134472</xdr:colOff>
      <xdr:row>4</xdr:row>
      <xdr:rowOff>71717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B98A825-0964-4210-B746-F3D1C4927AF9}"/>
            </a:ext>
          </a:extLst>
        </xdr:cNvPr>
        <xdr:cNvSpPr/>
      </xdr:nvSpPr>
      <xdr:spPr>
        <a:xfrm>
          <a:off x="421342" y="582706"/>
          <a:ext cx="4993342" cy="412376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tx1"/>
              </a:solidFill>
            </a:rPr>
            <a:t>Why High Clicks Don’t Mean Viewers Stay</a:t>
          </a:r>
        </a:p>
      </xdr:txBody>
    </xdr:sp>
    <xdr:clientData/>
  </xdr:twoCellAnchor>
  <xdr:twoCellAnchor>
    <xdr:from>
      <xdr:col>13</xdr:col>
      <xdr:colOff>1312433</xdr:colOff>
      <xdr:row>2</xdr:row>
      <xdr:rowOff>8962</xdr:rowOff>
    </xdr:from>
    <xdr:to>
      <xdr:col>21</xdr:col>
      <xdr:colOff>62753</xdr:colOff>
      <xdr:row>4</xdr:row>
      <xdr:rowOff>71717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354750E-BF6B-4432-A797-861FA9058ED3}"/>
            </a:ext>
          </a:extLst>
        </xdr:cNvPr>
        <xdr:cNvSpPr/>
      </xdr:nvSpPr>
      <xdr:spPr>
        <a:xfrm>
          <a:off x="9640645" y="573738"/>
          <a:ext cx="5106296" cy="421344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tx1"/>
              </a:solidFill>
            </a:rPr>
            <a:t>Which Thumbnails Get Fewer Clicks</a:t>
          </a:r>
          <a:r>
            <a:rPr lang="en-IN" sz="1200"/>
            <a:t>?</a:t>
          </a:r>
          <a:endParaRPr lang="en-IN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116539</xdr:colOff>
      <xdr:row>20</xdr:row>
      <xdr:rowOff>80682</xdr:rowOff>
    </xdr:from>
    <xdr:to>
      <xdr:col>12</xdr:col>
      <xdr:colOff>107577</xdr:colOff>
      <xdr:row>31</xdr:row>
      <xdr:rowOff>17929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3B5AF21-FCC8-4FFE-8213-90640CF6D13D}"/>
            </a:ext>
          </a:extLst>
        </xdr:cNvPr>
        <xdr:cNvSpPr/>
      </xdr:nvSpPr>
      <xdr:spPr>
        <a:xfrm>
          <a:off x="2958351" y="3872753"/>
          <a:ext cx="4867838" cy="190948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b="1">
              <a:solidFill>
                <a:schemeClr val="tx1"/>
              </a:solidFill>
            </a:rPr>
            <a:t>Details</a:t>
          </a:r>
        </a:p>
        <a:p>
          <a:r>
            <a:rPr lang="en-IN" b="1">
              <a:solidFill>
                <a:schemeClr val="tx1"/>
              </a:solidFill>
            </a:rPr>
            <a:t>What I observe:</a:t>
          </a:r>
          <a:br>
            <a:rPr lang="en-IN">
              <a:solidFill>
                <a:schemeClr val="tx1"/>
              </a:solidFill>
            </a:rPr>
          </a:br>
          <a:r>
            <a:rPr lang="en-IN">
              <a:solidFill>
                <a:schemeClr val="tx1"/>
              </a:solidFill>
            </a:rPr>
            <a:t>Videos with very high CTR often have low end retention.</a:t>
          </a:r>
        </a:p>
        <a:p>
          <a:endParaRPr lang="en-IN">
            <a:solidFill>
              <a:schemeClr val="tx1"/>
            </a:solidFill>
          </a:endParaRPr>
        </a:p>
        <a:p>
          <a:r>
            <a:rPr lang="en-IN" b="1">
              <a:solidFill>
                <a:schemeClr val="tx1"/>
              </a:solidFill>
            </a:rPr>
            <a:t>Why this is negative:</a:t>
          </a:r>
          <a:br>
            <a:rPr lang="en-IN">
              <a:solidFill>
                <a:schemeClr val="tx1"/>
              </a:solidFill>
            </a:rPr>
          </a:br>
          <a:r>
            <a:rPr lang="en-IN">
              <a:solidFill>
                <a:schemeClr val="tx1"/>
              </a:solidFill>
            </a:rPr>
            <a:t>Strong or exaggerated titles attract clicks, but viewers leave when the content doesn’t match expectations.</a:t>
          </a:r>
        </a:p>
        <a:p>
          <a:endParaRPr lang="en-IN" b="1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What this implies:</a:t>
          </a:r>
          <a:br>
            <a:rPr lang="en-IN">
              <a:solidFill>
                <a:schemeClr val="tx1"/>
              </a:solidFill>
            </a:rPr>
          </a:br>
          <a:r>
            <a:rPr lang="en-IN">
              <a:solidFill>
                <a:schemeClr val="tx1"/>
              </a:solidFill>
            </a:rPr>
            <a:t>Chasing clicks alone can hurt viewer trust and long-term engagement.</a:t>
          </a:r>
        </a:p>
        <a:p>
          <a:endParaRPr lang="en-IN">
            <a:solidFill>
              <a:schemeClr val="tx1"/>
            </a:solidFill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1</xdr:col>
      <xdr:colOff>201706</xdr:colOff>
      <xdr:row>6</xdr:row>
      <xdr:rowOff>67235</xdr:rowOff>
    </xdr:from>
    <xdr:to>
      <xdr:col>10</xdr:col>
      <xdr:colOff>331695</xdr:colOff>
      <xdr:row>19</xdr:row>
      <xdr:rowOff>170330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482511-EC5B-EDBD-288B-6120EC107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197225</xdr:colOff>
      <xdr:row>20</xdr:row>
      <xdr:rowOff>71718</xdr:rowOff>
    </xdr:from>
    <xdr:to>
      <xdr:col>23</xdr:col>
      <xdr:colOff>197223</xdr:colOff>
      <xdr:row>30</xdr:row>
      <xdr:rowOff>161364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BDB702B-9618-4203-B088-D909C79900A8}"/>
            </a:ext>
          </a:extLst>
        </xdr:cNvPr>
        <xdr:cNvSpPr/>
      </xdr:nvSpPr>
      <xdr:spPr>
        <a:xfrm>
          <a:off x="10990731" y="3863789"/>
          <a:ext cx="4787151" cy="188258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b="1">
              <a:solidFill>
                <a:schemeClr val="tx1"/>
              </a:solidFill>
            </a:rPr>
            <a:t>Details</a:t>
          </a:r>
        </a:p>
        <a:p>
          <a:r>
            <a:rPr lang="en-IN" b="1">
              <a:solidFill>
                <a:schemeClr val="tx1"/>
              </a:solidFill>
            </a:rPr>
            <a:t>What I observe:</a:t>
          </a:r>
          <a:br>
            <a:rPr lang="en-IN">
              <a:solidFill>
                <a:schemeClr val="tx1"/>
              </a:solidFill>
            </a:rPr>
          </a:br>
          <a:r>
            <a:rPr lang="en-IN">
              <a:solidFill>
                <a:schemeClr val="tx1"/>
              </a:solidFill>
            </a:rPr>
            <a:t>Some thumbnail styles consistently get fewer clicks.</a:t>
          </a:r>
        </a:p>
        <a:p>
          <a:endParaRPr lang="en-IN">
            <a:solidFill>
              <a:schemeClr val="tx1"/>
            </a:solidFill>
          </a:endParaRPr>
        </a:p>
        <a:p>
          <a:r>
            <a:rPr lang="en-IN" b="1">
              <a:solidFill>
                <a:schemeClr val="tx1"/>
              </a:solidFill>
            </a:rPr>
            <a:t>Why this is negative:</a:t>
          </a:r>
          <a:br>
            <a:rPr lang="en-IN">
              <a:solidFill>
                <a:schemeClr val="tx1"/>
              </a:solidFill>
            </a:rPr>
          </a:br>
          <a:r>
            <a:rPr lang="en-IN">
              <a:solidFill>
                <a:schemeClr val="tx1"/>
              </a:solidFill>
            </a:rPr>
            <a:t>Unclear or low-effort thumbnails don’t show the video’s value quickly, so viewers skip them.</a:t>
          </a:r>
        </a:p>
        <a:p>
          <a:endParaRPr lang="en-IN">
            <a:solidFill>
              <a:schemeClr val="tx1"/>
            </a:solidFill>
          </a:endParaRP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What this implies:</a:t>
          </a:r>
          <a:br>
            <a:rPr lang="en-IN">
              <a:solidFill>
                <a:schemeClr val="tx1"/>
              </a:solidFill>
            </a:rPr>
          </a:br>
          <a:r>
            <a:rPr lang="en-IN">
              <a:solidFill>
                <a:schemeClr val="tx1"/>
              </a:solidFill>
            </a:rPr>
            <a:t>Clear thumbnails can improve CTR without changing the content.</a:t>
          </a:r>
        </a:p>
        <a:p>
          <a:pPr algn="l"/>
          <a:endParaRPr lang="en-IN" sz="1100"/>
        </a:p>
      </xdr:txBody>
    </xdr:sp>
    <xdr:clientData/>
  </xdr:twoCellAnchor>
  <xdr:twoCellAnchor>
    <xdr:from>
      <xdr:col>13</xdr:col>
      <xdr:colOff>815790</xdr:colOff>
      <xdr:row>6</xdr:row>
      <xdr:rowOff>58269</xdr:rowOff>
    </xdr:from>
    <xdr:to>
      <xdr:col>23</xdr:col>
      <xdr:colOff>125507</xdr:colOff>
      <xdr:row>20</xdr:row>
      <xdr:rowOff>62751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385095-72ED-30AB-17F3-AE320EC9E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0</xdr:row>
      <xdr:rowOff>106680</xdr:rowOff>
    </xdr:from>
    <xdr:to>
      <xdr:col>11</xdr:col>
      <xdr:colOff>45720</xdr:colOff>
      <xdr:row>3</xdr:row>
      <xdr:rowOff>22860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410E849-9F7D-F339-95AA-BC64BD4A4CD9}"/>
            </a:ext>
          </a:extLst>
        </xdr:cNvPr>
        <xdr:cNvSpPr/>
      </xdr:nvSpPr>
      <xdr:spPr>
        <a:xfrm>
          <a:off x="4655820" y="106680"/>
          <a:ext cx="4122420" cy="46482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ysClr val="windowText" lastClr="000000"/>
              </a:solidFill>
            </a:rPr>
            <a:t>Surprising Insight</a:t>
          </a:r>
        </a:p>
      </xdr:txBody>
    </xdr:sp>
    <xdr:clientData/>
  </xdr:twoCellAnchor>
  <xdr:twoCellAnchor>
    <xdr:from>
      <xdr:col>0</xdr:col>
      <xdr:colOff>586740</xdr:colOff>
      <xdr:row>4</xdr:row>
      <xdr:rowOff>38101</xdr:rowOff>
    </xdr:from>
    <xdr:to>
      <xdr:col>9</xdr:col>
      <xdr:colOff>30928</xdr:colOff>
      <xdr:row>6</xdr:row>
      <xdr:rowOff>175261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993544A-91A6-4961-B073-CBCC8250BBDB}"/>
            </a:ext>
          </a:extLst>
        </xdr:cNvPr>
        <xdr:cNvSpPr/>
      </xdr:nvSpPr>
      <xdr:spPr>
        <a:xfrm>
          <a:off x="586740" y="769621"/>
          <a:ext cx="6347908" cy="5029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tx1"/>
              </a:solidFill>
            </a:rPr>
            <a:t>Fewer Clicks, But Viewers Stay Longer</a:t>
          </a:r>
        </a:p>
      </xdr:txBody>
    </xdr:sp>
    <xdr:clientData/>
  </xdr:twoCellAnchor>
  <xdr:twoCellAnchor>
    <xdr:from>
      <xdr:col>10</xdr:col>
      <xdr:colOff>236220</xdr:colOff>
      <xdr:row>13</xdr:row>
      <xdr:rowOff>0</xdr:rowOff>
    </xdr:from>
    <xdr:to>
      <xdr:col>16</xdr:col>
      <xdr:colOff>121920</xdr:colOff>
      <xdr:row>25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D0B9080-128F-40B9-876A-F26AFCA97B96}"/>
            </a:ext>
          </a:extLst>
        </xdr:cNvPr>
        <xdr:cNvSpPr/>
      </xdr:nvSpPr>
      <xdr:spPr>
        <a:xfrm>
          <a:off x="7749540" y="2377440"/>
          <a:ext cx="5021580" cy="22707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Details</a:t>
          </a:r>
          <a:endParaRPr lang="en-IN" sz="1400" b="1">
            <a:solidFill>
              <a:schemeClr val="tx1"/>
            </a:solidFill>
          </a:endParaRPr>
        </a:p>
        <a:p>
          <a:r>
            <a:rPr lang="en-IN" sz="1200" b="1">
              <a:solidFill>
                <a:schemeClr val="tx1"/>
              </a:solidFill>
            </a:rPr>
            <a:t>What I observe:</a:t>
          </a:r>
          <a:br>
            <a:rPr lang="en-IN" sz="1200">
              <a:solidFill>
                <a:schemeClr val="tx1"/>
              </a:solidFill>
            </a:rPr>
          </a:br>
          <a:r>
            <a:rPr lang="en-IN" sz="1200">
              <a:solidFill>
                <a:schemeClr val="tx1"/>
              </a:solidFill>
            </a:rPr>
            <a:t>Some videos with lower CTR still show strong watch time and engagement.</a:t>
          </a:r>
        </a:p>
        <a:p>
          <a:endParaRPr lang="en-IN" sz="1200">
            <a:solidFill>
              <a:schemeClr val="tx1"/>
            </a:solidFill>
          </a:endParaRPr>
        </a:p>
        <a:p>
          <a:r>
            <a:rPr lang="en-IN" sz="1200" b="1">
              <a:solidFill>
                <a:schemeClr val="tx1"/>
              </a:solidFill>
            </a:rPr>
            <a:t>Why this is surprising:</a:t>
          </a:r>
          <a:br>
            <a:rPr lang="en-IN" sz="1200">
              <a:solidFill>
                <a:schemeClr val="tx1"/>
              </a:solidFill>
            </a:rPr>
          </a:br>
          <a:r>
            <a:rPr lang="en-IN" sz="1200">
              <a:solidFill>
                <a:schemeClr val="tx1"/>
              </a:solidFill>
            </a:rPr>
            <a:t>Even with fewer clicks, the viewers who do click are genuinely interested and stay longer.</a:t>
          </a:r>
        </a:p>
        <a:p>
          <a:endParaRPr lang="en-IN" sz="1400" b="1">
            <a:solidFill>
              <a:schemeClr val="tx1"/>
            </a:solidFill>
          </a:endParaRPr>
        </a:p>
        <a:p>
          <a:r>
            <a:rPr lang="en-IN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What this implies:</a:t>
          </a:r>
          <a:br>
            <a:rPr lang="en-IN" sz="1200">
              <a:solidFill>
                <a:schemeClr val="tx1"/>
              </a:solidFill>
            </a:rPr>
          </a:br>
          <a:r>
            <a:rPr lang="en-IN" sz="1200">
              <a:solidFill>
                <a:schemeClr val="tx1"/>
              </a:solidFill>
            </a:rPr>
            <a:t>Not every video needs high clicks—some perform better with a smaller but more engaged audience.</a:t>
          </a:r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457200</xdr:colOff>
      <xdr:row>7</xdr:row>
      <xdr:rowOff>152400</xdr:rowOff>
    </xdr:from>
    <xdr:to>
      <xdr:col>9</xdr:col>
      <xdr:colOff>137160</xdr:colOff>
      <xdr:row>24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212894-087F-DB78-C3DF-6610826B9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ak Swarnkar" refreshedDate="46038.691047106484" createdVersion="8" refreshedVersion="8" minRefreshableVersion="3" recordCount="24" xr:uid="{FB59EAB0-6B67-4379-9C9A-43FBA6CEAB75}">
  <cacheSource type="worksheet">
    <worksheetSource name="Yt_data1"/>
  </cacheSource>
  <cacheFields count="15">
    <cacheField name="Channel" numFmtId="0">
      <sharedItems/>
    </cacheField>
    <cacheField name="Video_ID" numFmtId="0">
      <sharedItems/>
    </cacheField>
    <cacheField name="Title_Style" numFmtId="0">
      <sharedItems count="4">
        <s v="Curiosity"/>
        <s v="Clear"/>
        <s v="Clickbait"/>
        <s v="Generic"/>
      </sharedItems>
    </cacheField>
    <cacheField name="Thumbnail_Description" numFmtId="0">
      <sharedItems count="24">
        <s v="Face with shocked expression"/>
        <s v="Simple text + icon"/>
        <s v="Too much text"/>
        <s v="Product image"/>
        <s v="Face with arrows"/>
        <s v="Plain background"/>
        <s v="Face but unclear emotion"/>
        <s v="Bright colors + text"/>
        <s v="Expressive face"/>
        <s v="Diagram style thumbnail"/>
        <s v="Overloaded words"/>
        <s v="Minimal text"/>
        <s v="Low contrast image"/>
        <s v="Face partially hidden"/>
        <s v="Simple icon + text"/>
        <s v="Red arrows + text"/>
        <s v="Human face close-up"/>
        <s v="Step-by-step visual"/>
        <s v="Large text blocks"/>
        <s v="Object-focused image"/>
        <s v="Low effort thumbnail"/>
        <s v="Face + question mark"/>
        <s v="Minimal text + image"/>
        <s v="Bright colors overload"/>
      </sharedItems>
    </cacheField>
    <cacheField name="Upload_Time" numFmtId="0">
      <sharedItems/>
    </cacheField>
    <cacheField name="Video_Length_Min" numFmtId="0">
      <sharedItems containsSemiMixedTypes="0" containsString="0" containsNumber="1" containsInteger="1" minValue="6" maxValue="15" count="10">
        <n v="8"/>
        <n v="10"/>
        <n v="9"/>
        <n v="12"/>
        <n v="7"/>
        <n v="11"/>
        <n v="14"/>
        <n v="15"/>
        <n v="13"/>
        <n v="6"/>
      </sharedItems>
      <fieldGroup base="5">
        <rangePr autoStart="0" startNum="5" endNum="15" groupInterval="5"/>
        <groupItems count="4">
          <s v="&lt;5"/>
          <s v="5-9"/>
          <s v="10-15"/>
          <s v="&gt;15"/>
        </groupItems>
      </fieldGroup>
    </cacheField>
    <cacheField name="Views" numFmtId="0">
      <sharedItems containsSemiMixedTypes="0" containsString="0" containsNumber="1" containsInteger="1" minValue="17000" maxValue="69000"/>
    </cacheField>
    <cacheField name="CTR_Percent" numFmtId="0">
      <sharedItems containsSemiMixedTypes="0" containsString="0" containsNumber="1" minValue="3.4" maxValue="10.4"/>
    </cacheField>
    <cacheField name="Avg_Watch_Time(Minute)" numFmtId="0">
      <sharedItems containsSemiMixedTypes="0" containsString="0" containsNumber="1" minValue="3" maxValue="8.1999999999999993"/>
    </cacheField>
    <cacheField name="Retention_30s_Percent" numFmtId="0">
      <sharedItems containsSemiMixedTypes="0" containsString="0" containsNumber="1" containsInteger="1" minValue="53" maxValue="88" count="22">
        <n v="72"/>
        <n v="80"/>
        <n v="54"/>
        <n v="82"/>
        <n v="74"/>
        <n v="66"/>
        <n v="60"/>
        <n v="56"/>
        <n v="78"/>
        <n v="86"/>
        <n v="55"/>
        <n v="87"/>
        <n v="65"/>
        <n v="70"/>
        <n v="84"/>
        <n v="58"/>
        <n v="76"/>
        <n v="88"/>
        <n v="53"/>
        <n v="83"/>
        <n v="64"/>
        <n v="57"/>
      </sharedItems>
    </cacheField>
    <cacheField name="Retention_End_Percent" numFmtId="0">
      <sharedItems containsSemiMixedTypes="0" containsString="0" containsNumber="1" containsInteger="1" minValue="10" maxValue="49"/>
    </cacheField>
    <cacheField name="CTR %" numFmtId="10">
      <sharedItems containsSemiMixedTypes="0" containsString="0" containsNumber="1" minValue="3.4000000000000002E-2" maxValue="0.104"/>
    </cacheField>
    <cacheField name="30sRetention%" numFmtId="9">
      <sharedItems containsSemiMixedTypes="0" containsString="0" containsNumber="1" minValue="0.53" maxValue="0.88"/>
    </cacheField>
    <cacheField name="End Retention%" numFmtId="9">
      <sharedItems containsSemiMixedTypes="0" containsString="0" containsNumber="1" minValue="0.1" maxValue="0.49"/>
    </cacheField>
    <cacheField name="Watch Time Ratio" numFmtId="10">
      <sharedItems containsSemiMixedTypes="0" containsString="0" containsNumber="1" minValue="0.318" maxValue="0.8169999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Your_Channel"/>
    <s v="YC01"/>
    <x v="0"/>
    <x v="0"/>
    <s v="Evening"/>
    <x v="0"/>
    <n v="42000"/>
    <n v="7.6"/>
    <n v="4.8"/>
    <x v="0"/>
    <n v="24"/>
    <n v="7.5999999999999998E-2"/>
    <n v="0.72"/>
    <n v="0.24"/>
    <n v="0.6"/>
  </r>
  <r>
    <s v="Your_Channel"/>
    <s v="YC02"/>
    <x v="1"/>
    <x v="1"/>
    <s v="Morning"/>
    <x v="1"/>
    <n v="26000"/>
    <n v="5.0999999999999996"/>
    <n v="6.5"/>
    <x v="1"/>
    <n v="38"/>
    <n v="5.0999999999999997E-2"/>
    <n v="0.8"/>
    <n v="0.38"/>
    <n v="0.65"/>
  </r>
  <r>
    <s v="Your_Channel"/>
    <s v="YC03"/>
    <x v="2"/>
    <x v="2"/>
    <s v="Night"/>
    <x v="2"/>
    <n v="39000"/>
    <n v="9.3000000000000007"/>
    <n v="3"/>
    <x v="2"/>
    <n v="11"/>
    <n v="9.2999999999999999E-2"/>
    <n v="0.54"/>
    <n v="0.11"/>
    <n v="0.33300000000000002"/>
  </r>
  <r>
    <s v="Your_Channel"/>
    <s v="YC04"/>
    <x v="1"/>
    <x v="3"/>
    <s v="Evening"/>
    <x v="3"/>
    <n v="31000"/>
    <n v="5.4"/>
    <n v="7.1"/>
    <x v="3"/>
    <n v="41"/>
    <n v="5.3999999999999999E-2"/>
    <n v="0.82"/>
    <n v="0.41"/>
    <n v="0.59199999999999997"/>
  </r>
  <r>
    <s v="Your_Channel"/>
    <s v="YC05"/>
    <x v="0"/>
    <x v="4"/>
    <s v="Night"/>
    <x v="4"/>
    <n v="45000"/>
    <n v="8.1"/>
    <n v="4.5999999999999996"/>
    <x v="4"/>
    <n v="26"/>
    <n v="8.1000000000000003E-2"/>
    <n v="0.74"/>
    <n v="0.26"/>
    <n v="0.65700000000000003"/>
  </r>
  <r>
    <s v="Your_Channel"/>
    <s v="YC06"/>
    <x v="3"/>
    <x v="5"/>
    <s v="Morning"/>
    <x v="5"/>
    <n v="17000"/>
    <n v="3.8"/>
    <n v="4.2"/>
    <x v="5"/>
    <n v="19"/>
    <n v="3.7999999999999999E-2"/>
    <n v="0.66"/>
    <n v="0.19"/>
    <n v="0.38200000000000001"/>
  </r>
  <r>
    <s v="Your_Channel"/>
    <s v="YC07"/>
    <x v="0"/>
    <x v="6"/>
    <s v="Evening"/>
    <x v="0"/>
    <n v="22000"/>
    <n v="4.9000000000000004"/>
    <n v="4.0999999999999996"/>
    <x v="6"/>
    <n v="18"/>
    <n v="4.9000000000000002E-2"/>
    <n v="0.6"/>
    <n v="0.18"/>
    <n v="0.51300000000000001"/>
  </r>
  <r>
    <s v="Your_Channel"/>
    <s v="YC08"/>
    <x v="2"/>
    <x v="7"/>
    <s v="Night"/>
    <x v="1"/>
    <n v="41000"/>
    <n v="9.8000000000000007"/>
    <n v="3.4"/>
    <x v="7"/>
    <n v="13"/>
    <n v="9.8000000000000004E-2"/>
    <n v="0.56000000000000005"/>
    <n v="0.13"/>
    <n v="0.34"/>
  </r>
  <r>
    <s v="Competitor_A"/>
    <s v="CA01"/>
    <x v="0"/>
    <x v="8"/>
    <s v="Evening"/>
    <x v="4"/>
    <n v="62000"/>
    <n v="8.4"/>
    <n v="5.3"/>
    <x v="8"/>
    <n v="31"/>
    <n v="8.4000000000000005E-2"/>
    <n v="0.78"/>
    <n v="0.31"/>
    <n v="0.75700000000000001"/>
  </r>
  <r>
    <s v="Competitor_A"/>
    <s v="CA02"/>
    <x v="1"/>
    <x v="9"/>
    <s v="Morning"/>
    <x v="6"/>
    <n v="51000"/>
    <n v="5.2"/>
    <n v="7.9"/>
    <x v="9"/>
    <n v="46"/>
    <n v="5.1999999999999998E-2"/>
    <n v="0.86"/>
    <n v="0.46"/>
    <n v="0.56399999999999995"/>
  </r>
  <r>
    <s v="Competitor_A"/>
    <s v="CA03"/>
    <x v="2"/>
    <x v="10"/>
    <s v="Night"/>
    <x v="5"/>
    <n v="69000"/>
    <n v="10.1"/>
    <n v="3.5"/>
    <x v="10"/>
    <n v="12"/>
    <n v="0.10100000000000001"/>
    <n v="0.55000000000000004"/>
    <n v="0.12"/>
    <n v="0.318"/>
  </r>
  <r>
    <s v="Competitor_A"/>
    <s v="CA04"/>
    <x v="1"/>
    <x v="11"/>
    <s v="Evening"/>
    <x v="7"/>
    <n v="47000"/>
    <n v="4.8"/>
    <n v="8.1"/>
    <x v="11"/>
    <n v="48"/>
    <n v="4.8000000000000001E-2"/>
    <n v="0.87"/>
    <n v="0.48"/>
    <n v="0.54"/>
  </r>
  <r>
    <s v="Competitor_A"/>
    <s v="CA05"/>
    <x v="3"/>
    <x v="12"/>
    <s v="Morning"/>
    <x v="2"/>
    <n v="36000"/>
    <n v="3.6"/>
    <n v="4"/>
    <x v="12"/>
    <n v="20"/>
    <n v="3.5999999999999997E-2"/>
    <n v="0.65"/>
    <n v="0.2"/>
    <n v="0.44400000000000001"/>
  </r>
  <r>
    <s v="Competitor_A"/>
    <s v="CA06"/>
    <x v="0"/>
    <x v="13"/>
    <s v="Night"/>
    <x v="0"/>
    <n v="40000"/>
    <n v="6.2"/>
    <n v="4.7"/>
    <x v="13"/>
    <n v="25"/>
    <n v="6.2E-2"/>
    <n v="0.7"/>
    <n v="0.25"/>
    <n v="0.58799999999999997"/>
  </r>
  <r>
    <s v="Competitor_A"/>
    <s v="CA07"/>
    <x v="1"/>
    <x v="14"/>
    <s v="Evening"/>
    <x v="8"/>
    <n v="52000"/>
    <n v="5.5"/>
    <n v="7.4"/>
    <x v="14"/>
    <n v="43"/>
    <n v="5.5E-2"/>
    <n v="0.84"/>
    <n v="0.43"/>
    <n v="0.56899999999999995"/>
  </r>
  <r>
    <s v="Competitor_A"/>
    <s v="CA08"/>
    <x v="2"/>
    <x v="15"/>
    <s v="Night"/>
    <x v="1"/>
    <n v="58000"/>
    <n v="9.6"/>
    <n v="3.8"/>
    <x v="15"/>
    <n v="16"/>
    <n v="9.6000000000000002E-2"/>
    <n v="0.57999999999999996"/>
    <n v="0.16"/>
    <n v="0.38"/>
  </r>
  <r>
    <s v="Competitor_B"/>
    <s v="CB01"/>
    <x v="0"/>
    <x v="16"/>
    <s v="Evening"/>
    <x v="9"/>
    <n v="59000"/>
    <n v="8.9"/>
    <n v="4.9000000000000004"/>
    <x v="16"/>
    <n v="29"/>
    <n v="8.8999999999999996E-2"/>
    <n v="0.76"/>
    <n v="0.28999999999999998"/>
    <n v="0.81699999999999995"/>
  </r>
  <r>
    <s v="Competitor_B"/>
    <s v="CB02"/>
    <x v="1"/>
    <x v="17"/>
    <s v="Morning"/>
    <x v="7"/>
    <n v="48000"/>
    <n v="5"/>
    <n v="8.1999999999999993"/>
    <x v="17"/>
    <n v="49"/>
    <n v="0.05"/>
    <n v="0.88"/>
    <n v="0.49"/>
    <n v="0.54700000000000004"/>
  </r>
  <r>
    <s v="Competitor_B"/>
    <s v="CB03"/>
    <x v="2"/>
    <x v="18"/>
    <s v="Night"/>
    <x v="2"/>
    <n v="64000"/>
    <n v="10.4"/>
    <n v="3.2"/>
    <x v="18"/>
    <n v="10"/>
    <n v="0.104"/>
    <n v="0.53"/>
    <n v="0.1"/>
    <n v="0.35599999999999998"/>
  </r>
  <r>
    <s v="Competitor_B"/>
    <s v="CB04"/>
    <x v="1"/>
    <x v="19"/>
    <s v="Evening"/>
    <x v="3"/>
    <n v="45000"/>
    <n v="4.5999999999999996"/>
    <n v="7.6"/>
    <x v="19"/>
    <n v="42"/>
    <n v="4.5999999999999999E-2"/>
    <n v="0.83"/>
    <n v="0.42"/>
    <n v="0.63300000000000001"/>
  </r>
  <r>
    <s v="Competitor_B"/>
    <s v="CB05"/>
    <x v="3"/>
    <x v="20"/>
    <s v="Morning"/>
    <x v="1"/>
    <n v="33000"/>
    <n v="3.4"/>
    <n v="4.0999999999999996"/>
    <x v="20"/>
    <n v="18"/>
    <n v="3.4000000000000002E-2"/>
    <n v="0.64"/>
    <n v="0.18"/>
    <n v="0.41"/>
  </r>
  <r>
    <s v="Competitor_B"/>
    <s v="CB06"/>
    <x v="0"/>
    <x v="21"/>
    <s v="Night"/>
    <x v="4"/>
    <n v="61000"/>
    <n v="8"/>
    <n v="5.2"/>
    <x v="8"/>
    <n v="30"/>
    <n v="0.08"/>
    <n v="0.78"/>
    <n v="0.3"/>
    <n v="0.74299999999999999"/>
  </r>
  <r>
    <s v="Competitor_B"/>
    <s v="CB07"/>
    <x v="1"/>
    <x v="22"/>
    <s v="Evening"/>
    <x v="6"/>
    <n v="49000"/>
    <n v="5.3"/>
    <n v="7.9"/>
    <x v="9"/>
    <n v="47"/>
    <n v="5.2999999999999999E-2"/>
    <n v="0.86"/>
    <n v="0.47"/>
    <n v="0.56399999999999995"/>
  </r>
  <r>
    <s v="Competitor_B"/>
    <s v="CB08"/>
    <x v="2"/>
    <x v="23"/>
    <s v="Night"/>
    <x v="5"/>
    <n v="67000"/>
    <n v="9.9"/>
    <n v="3.6"/>
    <x v="21"/>
    <n v="15"/>
    <n v="9.9000000000000005E-2"/>
    <n v="0.56999999999999995"/>
    <n v="0.15"/>
    <n v="0.327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D7CEE-0C0B-4DDF-BB8D-C2064A0D83B5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rowHeaderCaption="Title Style">
  <location ref="B19:D23" firstHeaderRow="0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>
      <items count="23">
        <item x="18"/>
        <item x="2"/>
        <item x="10"/>
        <item x="7"/>
        <item x="21"/>
        <item x="15"/>
        <item x="6"/>
        <item x="20"/>
        <item x="12"/>
        <item x="5"/>
        <item x="13"/>
        <item x="0"/>
        <item x="4"/>
        <item x="16"/>
        <item x="8"/>
        <item x="1"/>
        <item x="3"/>
        <item x="19"/>
        <item x="14"/>
        <item x="9"/>
        <item x="11"/>
        <item x="17"/>
        <item t="default"/>
      </items>
    </pivotField>
    <pivotField showAll="0"/>
    <pivotField dataField="1" numFmtId="10" showAll="0"/>
    <pivotField dataField="1" numFmtId="9" showAll="0"/>
    <pivotField numFmtId="9" showAll="0"/>
    <pivotField numFmtId="10" showAl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CTR (%)" fld="11" subtotal="average" baseField="2" baseItem="0" numFmtId="10"/>
    <dataField name="30 sec Retention(%)" fld="12" subtotal="average" baseField="2" baseItem="0" numFmtId="9"/>
  </dataFields>
  <formats count="11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2" type="button" dataOnly="0" labelOnly="1" outline="0" axis="axisRow" fieldPosition="0"/>
    </format>
    <format dxfId="81">
      <pivotArea dataOnly="0" labelOnly="1" fieldPosition="0">
        <references count="1">
          <reference field="2" count="0"/>
        </references>
      </pivotArea>
    </format>
    <format dxfId="80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2" type="button" dataOnly="0" labelOnly="1" outline="0" axis="axisRow" fieldPosition="0"/>
    </format>
    <format dxfId="75">
      <pivotArea dataOnly="0" labelOnly="1" fieldPosition="0">
        <references count="1">
          <reference field="2" count="0"/>
        </references>
      </pivotArea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D4305-4D2E-4E18-A48B-7E299C21AAFC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Video Length (mins)">
  <location ref="N20:O22" firstHeaderRow="1" firstDataRow="1" firstDataCol="1"/>
  <pivotFields count="15"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>
      <items count="23">
        <item x="18"/>
        <item x="2"/>
        <item x="10"/>
        <item x="7"/>
        <item x="21"/>
        <item x="15"/>
        <item x="6"/>
        <item x="20"/>
        <item x="12"/>
        <item x="5"/>
        <item x="13"/>
        <item x="0"/>
        <item x="4"/>
        <item x="16"/>
        <item x="8"/>
        <item x="1"/>
        <item x="3"/>
        <item x="19"/>
        <item x="14"/>
        <item x="9"/>
        <item x="11"/>
        <item x="17"/>
        <item t="default"/>
      </items>
    </pivotField>
    <pivotField showAll="0"/>
    <pivotField numFmtId="10" showAll="0"/>
    <pivotField numFmtId="9" showAll="0"/>
    <pivotField numFmtId="9" showAll="0"/>
    <pivotField dataField="1" numFmtId="10" showAll="0"/>
  </pivotFields>
  <rowFields count="1">
    <field x="5"/>
  </rowFields>
  <rowItems count="2">
    <i>
      <x v="1"/>
    </i>
    <i>
      <x v="2"/>
    </i>
  </rowItems>
  <colItems count="1">
    <i/>
  </colItems>
  <dataFields count="1">
    <dataField name="Watch Time Ratio(%)" fld="14" subtotal="average" baseField="5" baseItem="1" numFmtId="10"/>
  </dataFields>
  <formats count="11">
    <format dxfId="35">
      <pivotArea type="all" dataOnly="0" outline="0" fieldPosition="0"/>
    </format>
    <format dxfId="36">
      <pivotArea outline="0" collapsedLevelsAreSubtotals="1" fieldPosition="0"/>
    </format>
    <format dxfId="37">
      <pivotArea field="5" type="button" dataOnly="0" labelOnly="1" outline="0" axis="axisRow" fieldPosition="0"/>
    </format>
    <format dxfId="38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9">
      <pivotArea dataOnly="0" labelOnly="1" grandRow="1" outline="0" fieldPosition="0"/>
    </format>
    <format dxfId="40">
      <pivotArea dataOnly="0" labelOnly="1" outline="0" axis="axisValues" fieldPosition="0"/>
    </format>
    <format dxfId="41">
      <pivotArea type="all" dataOnly="0" outline="0" fieldPosition="0"/>
    </format>
    <format dxfId="42">
      <pivotArea outline="0" collapsedLevelsAreSubtotals="1" fieldPosition="0"/>
    </format>
    <format dxfId="43">
      <pivotArea field="5" type="button" dataOnly="0" labelOnly="1" outline="0" axis="axisRow" fieldPosition="0"/>
    </format>
    <format dxfId="44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45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F491E-AD16-45E4-A909-9C8C046731F8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 rowHeaderCaption="Thumbnail Description">
  <location ref="N24:O29" firstHeaderRow="1" firstDataRow="1" firstDataCol="1"/>
  <pivotFields count="15"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axis="axisRow" showAll="0" measureFilter="1">
      <items count="25">
        <item x="7"/>
        <item x="23"/>
        <item x="9"/>
        <item x="8"/>
        <item x="21"/>
        <item x="6"/>
        <item x="13"/>
        <item x="4"/>
        <item x="0"/>
        <item x="16"/>
        <item x="18"/>
        <item x="12"/>
        <item x="20"/>
        <item x="11"/>
        <item x="22"/>
        <item x="19"/>
        <item x="10"/>
        <item x="5"/>
        <item x="3"/>
        <item x="15"/>
        <item x="14"/>
        <item x="1"/>
        <item x="17"/>
        <item x="2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>
      <items count="23">
        <item x="18"/>
        <item x="2"/>
        <item x="10"/>
        <item x="7"/>
        <item x="21"/>
        <item x="15"/>
        <item x="6"/>
        <item x="20"/>
        <item x="12"/>
        <item x="5"/>
        <item x="13"/>
        <item x="0"/>
        <item x="4"/>
        <item x="16"/>
        <item x="8"/>
        <item x="1"/>
        <item x="3"/>
        <item x="19"/>
        <item x="14"/>
        <item x="9"/>
        <item x="11"/>
        <item x="17"/>
        <item t="default"/>
      </items>
    </pivotField>
    <pivotField showAll="0"/>
    <pivotField dataField="1" numFmtId="10" showAll="0"/>
    <pivotField numFmtId="9" showAll="0"/>
    <pivotField numFmtId="9" showAll="0"/>
    <pivotField numFmtId="10" showAll="0"/>
  </pivotFields>
  <rowFields count="1">
    <field x="3"/>
  </rowFields>
  <rowItems count="5">
    <i>
      <x v="11"/>
    </i>
    <i>
      <x v="12"/>
    </i>
    <i>
      <x v="13"/>
    </i>
    <i>
      <x v="15"/>
    </i>
    <i>
      <x v="17"/>
    </i>
  </rowItems>
  <colItems count="1">
    <i/>
  </colItems>
  <dataFields count="1">
    <dataField name="Average of CTR %" fld="11" subtotal="average" baseField="3" baseItem="0" numFmtId="10"/>
  </dataFields>
  <formats count="9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2" type="button" dataOnly="0" labelOnly="1" outline="0"/>
    </format>
    <format dxfId="61">
      <pivotArea dataOnly="0" labelOnly="1" grandRow="1" outline="0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3" type="button" dataOnly="0" labelOnly="1" outline="0" axis="axisRow" fieldPosition="0"/>
    </format>
    <format dxfId="57">
      <pivotArea dataOnly="0" labelOnly="1" fieldPosition="0">
        <references count="1">
          <reference field="3" count="5">
            <x v="11"/>
            <x v="12"/>
            <x v="13"/>
            <x v="15"/>
            <x v="17"/>
          </reference>
        </references>
      </pivotArea>
    </format>
    <format dxfId="56">
      <pivotArea dataOnly="0" labelOnly="1" outline="0" axis="axisValues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89702-C1DC-4F72-B793-DBAD5F0D137B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Title Style">
  <location ref="B23:D27" firstHeaderRow="0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>
      <items count="23">
        <item x="18"/>
        <item x="2"/>
        <item x="10"/>
        <item x="7"/>
        <item x="21"/>
        <item x="15"/>
        <item x="6"/>
        <item x="20"/>
        <item x="12"/>
        <item x="5"/>
        <item x="13"/>
        <item x="0"/>
        <item x="4"/>
        <item x="16"/>
        <item x="8"/>
        <item x="1"/>
        <item x="3"/>
        <item x="19"/>
        <item x="14"/>
        <item x="9"/>
        <item x="11"/>
        <item x="17"/>
        <item t="default"/>
      </items>
    </pivotField>
    <pivotField showAll="0"/>
    <pivotField dataField="1" numFmtId="10" showAll="0"/>
    <pivotField numFmtId="9" showAll="0"/>
    <pivotField dataField="1" numFmtId="9" showAll="0"/>
    <pivotField numFmtId="10" showAl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End Retention(%)" fld="13" subtotal="average" baseField="2" baseItem="0" numFmtId="9"/>
    <dataField name="CTR (%)" fld="11" subtotal="average" baseField="2" baseItem="0" numFmtId="10"/>
  </dataFields>
  <formats count="9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2" type="button" dataOnly="0" labelOnly="1" outline="0" axis="axisRow" fieldPosition="0"/>
    </format>
    <format dxfId="70">
      <pivotArea dataOnly="0" labelOnly="1" grandRow="1" outline="0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2" type="button" dataOnly="0" labelOnly="1" outline="0" axis="axisRow" fieldPosition="0"/>
    </format>
    <format dxfId="66">
      <pivotArea dataOnly="0" labelOnly="1" fieldPosition="0">
        <references count="1">
          <reference field="2" count="0"/>
        </references>
      </pivotArea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ED155-BBCD-449A-B3F9-3C0ECDE8F4D6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Title Style">
  <location ref="L6:O10" firstHeaderRow="0" firstDataRow="1" firstDataCol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25">
        <item x="7"/>
        <item x="23"/>
        <item x="9"/>
        <item x="8"/>
        <item x="21"/>
        <item x="6"/>
        <item x="13"/>
        <item x="4"/>
        <item x="0"/>
        <item x="16"/>
        <item x="18"/>
        <item x="12"/>
        <item x="20"/>
        <item x="11"/>
        <item x="22"/>
        <item x="19"/>
        <item x="10"/>
        <item x="5"/>
        <item x="3"/>
        <item x="15"/>
        <item x="14"/>
        <item x="1"/>
        <item x="17"/>
        <item x="2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>
      <items count="23">
        <item x="18"/>
        <item x="2"/>
        <item x="10"/>
        <item x="7"/>
        <item x="21"/>
        <item x="15"/>
        <item x="6"/>
        <item x="20"/>
        <item x="12"/>
        <item x="5"/>
        <item x="13"/>
        <item x="0"/>
        <item x="4"/>
        <item x="16"/>
        <item x="8"/>
        <item x="1"/>
        <item x="3"/>
        <item x="19"/>
        <item x="14"/>
        <item x="9"/>
        <item x="11"/>
        <item x="17"/>
        <item t="default"/>
      </items>
    </pivotField>
    <pivotField showAll="0"/>
    <pivotField dataField="1" numFmtId="10" showAll="0"/>
    <pivotField numFmtId="9" showAll="0"/>
    <pivotField numFmtId="9" showAll="0"/>
    <pivotField dataField="1" numFmtId="10" showAl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CTR (%)" fld="11" subtotal="average" baseField="2" baseItem="0" numFmtId="165"/>
    <dataField name="Max Watch Time(Min)" fld="8" subtotal="average" baseField="2" baseItem="0" numFmtId="164"/>
    <dataField name="Watch Time Ratio(%)" fld="14" subtotal="average" baseField="2" baseItem="0" numFmtId="165"/>
  </dataFields>
  <formats count="12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2" type="button" dataOnly="0" labelOnly="1" outline="0" axis="axisRow" fieldPosition="0"/>
    </format>
    <format dxfId="52">
      <pivotArea dataOnly="0" labelOnly="1" grandRow="1" outline="0" fieldPosition="0"/>
    </format>
    <format dxfId="5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2" type="button" dataOnly="0" labelOnly="1" outline="0" axis="axisRow" fieldPosition="0"/>
    </format>
    <format dxfId="47">
      <pivotArea dataOnly="0" labelOnly="1" fieldPosition="0">
        <references count="1">
          <reference field="2" count="0"/>
        </references>
      </pivotArea>
    </format>
    <format dxfId="4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AD6C96-DE61-45C9-8865-BDEB083CE3C2}" name="Table2" displayName="Table2" ref="A1:O25" totalsRowShown="0">
  <autoFilter ref="A1:O25" xr:uid="{87AD6C96-DE61-45C9-8865-BDEB083CE3C2}"/>
  <tableColumns count="15">
    <tableColumn id="1" xr3:uid="{5489EB5C-5D56-482F-880A-DC6142D731E5}" name="Channel"/>
    <tableColumn id="2" xr3:uid="{F352BEBA-1501-4C63-82E3-763162D21AD8}" name="Video_ID"/>
    <tableColumn id="3" xr3:uid="{93C2FFBD-4539-4978-A1BC-87C758D1D885}" name="Title_Style"/>
    <tableColumn id="4" xr3:uid="{68B2428D-B381-4C11-BB69-A52C0E5B02D6}" name="Thumbnail_Description"/>
    <tableColumn id="5" xr3:uid="{FE5B4A5B-DE34-4EC6-B462-8E8E8A4AF8D3}" name="Upload_Time"/>
    <tableColumn id="6" xr3:uid="{37957042-E0D9-4A07-BBEA-D89EF36335CF}" name="Video_Length_Min"/>
    <tableColumn id="7" xr3:uid="{B837D2BC-F2FC-40BB-A2DA-266371E8C6C1}" name="Views"/>
    <tableColumn id="8" xr3:uid="{52F04FAE-8DAF-4C7A-9FF1-A6B90FF9B7A0}" name="CTR_Percent"/>
    <tableColumn id="9" xr3:uid="{C3A26E87-11A9-478E-A5AD-488E0B5715FA}" name="Avg_Watch_Time(Minute)"/>
    <tableColumn id="10" xr3:uid="{3C2DE5DC-1E05-4ACC-BA18-75ED028E3406}" name="Retention_30s_Percent"/>
    <tableColumn id="11" xr3:uid="{5C860BD5-2203-4F70-BE77-19DCD9E9CB2E}" name="Retention_End_Percent"/>
    <tableColumn id="12" xr3:uid="{F384A2B4-FCD3-48F1-AF0D-6CFC7AFB225C}" name="CTR %" dataDxfId="88"/>
    <tableColumn id="13" xr3:uid="{589A2F08-40EA-46D6-829B-3C739CFF2225}" name="30sRetention%" dataDxfId="87"/>
    <tableColumn id="14" xr3:uid="{06B82E0A-902A-4925-93F2-B38987F457AE}" name="End Retention%" dataDxfId="86"/>
    <tableColumn id="15" xr3:uid="{11D85EDB-9FEE-4B15-ADBF-859D42806BED}" name="Watch Time Ratio" dataDxfId="8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AD14-C24B-4049-A171-8DEE2A24462E}">
  <dimension ref="A1:O25"/>
  <sheetViews>
    <sheetView zoomScale="80" zoomScaleNormal="80" workbookViewId="0">
      <selection activeCell="G38" sqref="G38"/>
    </sheetView>
  </sheetViews>
  <sheetFormatPr defaultRowHeight="14.4" x14ac:dyDescent="0.3"/>
  <cols>
    <col min="1" max="1" width="9.77734375" customWidth="1"/>
    <col min="2" max="2" width="10.5546875" customWidth="1"/>
    <col min="3" max="3" width="11.5546875" customWidth="1"/>
    <col min="4" max="4" width="22.33203125" customWidth="1"/>
    <col min="5" max="5" width="14.109375" customWidth="1"/>
    <col min="6" max="6" width="18.88671875" customWidth="1"/>
    <col min="8" max="8" width="13.5546875" customWidth="1"/>
    <col min="9" max="9" width="25.109375" customWidth="1"/>
    <col min="10" max="10" width="22.33203125" customWidth="1"/>
    <col min="11" max="11" width="22.77734375" customWidth="1"/>
    <col min="13" max="13" width="15.33203125" customWidth="1"/>
    <col min="14" max="14" width="16.21875" customWidth="1"/>
    <col min="15" max="15" width="17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8</v>
      </c>
      <c r="G2">
        <v>42000</v>
      </c>
      <c r="H2">
        <v>7.6</v>
      </c>
      <c r="I2">
        <v>4.8</v>
      </c>
      <c r="J2">
        <v>72</v>
      </c>
      <c r="K2">
        <v>24</v>
      </c>
      <c r="L2" s="1">
        <v>7.5999999999999998E-2</v>
      </c>
      <c r="M2" s="2">
        <v>0.72</v>
      </c>
      <c r="N2" s="2">
        <v>0.24</v>
      </c>
      <c r="O2" s="1">
        <v>0.6</v>
      </c>
    </row>
    <row r="3" spans="1:15" x14ac:dyDescent="0.3">
      <c r="A3" t="s">
        <v>15</v>
      </c>
      <c r="B3" t="s">
        <v>20</v>
      </c>
      <c r="C3" t="s">
        <v>21</v>
      </c>
      <c r="D3" t="s">
        <v>22</v>
      </c>
      <c r="E3" t="s">
        <v>23</v>
      </c>
      <c r="F3">
        <v>10</v>
      </c>
      <c r="G3">
        <v>26000</v>
      </c>
      <c r="H3">
        <v>5.0999999999999996</v>
      </c>
      <c r="I3">
        <v>6.5</v>
      </c>
      <c r="J3">
        <v>80</v>
      </c>
      <c r="K3">
        <v>38</v>
      </c>
      <c r="L3" s="1">
        <v>5.0999999999999997E-2</v>
      </c>
      <c r="M3" s="2">
        <v>0.8</v>
      </c>
      <c r="N3" s="2">
        <v>0.38</v>
      </c>
      <c r="O3" s="1">
        <v>0.65</v>
      </c>
    </row>
    <row r="4" spans="1:15" x14ac:dyDescent="0.3">
      <c r="A4" t="s">
        <v>15</v>
      </c>
      <c r="B4" t="s">
        <v>24</v>
      </c>
      <c r="C4" t="s">
        <v>25</v>
      </c>
      <c r="D4" t="s">
        <v>26</v>
      </c>
      <c r="E4" t="s">
        <v>27</v>
      </c>
      <c r="F4">
        <v>9</v>
      </c>
      <c r="G4">
        <v>39000</v>
      </c>
      <c r="H4">
        <v>9.3000000000000007</v>
      </c>
      <c r="I4">
        <v>3</v>
      </c>
      <c r="J4">
        <v>54</v>
      </c>
      <c r="K4">
        <v>11</v>
      </c>
      <c r="L4" s="1">
        <v>9.2999999999999999E-2</v>
      </c>
      <c r="M4" s="2">
        <v>0.54</v>
      </c>
      <c r="N4" s="2">
        <v>0.11</v>
      </c>
      <c r="O4" s="1">
        <v>0.33300000000000002</v>
      </c>
    </row>
    <row r="5" spans="1:15" x14ac:dyDescent="0.3">
      <c r="A5" t="s">
        <v>15</v>
      </c>
      <c r="B5" t="s">
        <v>28</v>
      </c>
      <c r="C5" t="s">
        <v>21</v>
      </c>
      <c r="D5" t="s">
        <v>29</v>
      </c>
      <c r="E5" t="s">
        <v>19</v>
      </c>
      <c r="F5">
        <v>12</v>
      </c>
      <c r="G5">
        <v>31000</v>
      </c>
      <c r="H5">
        <v>5.4</v>
      </c>
      <c r="I5">
        <v>7.1</v>
      </c>
      <c r="J5">
        <v>82</v>
      </c>
      <c r="K5">
        <v>41</v>
      </c>
      <c r="L5" s="1">
        <v>5.3999999999999999E-2</v>
      </c>
      <c r="M5" s="2">
        <v>0.82</v>
      </c>
      <c r="N5" s="2">
        <v>0.41</v>
      </c>
      <c r="O5" s="1">
        <v>0.59199999999999997</v>
      </c>
    </row>
    <row r="6" spans="1:15" x14ac:dyDescent="0.3">
      <c r="A6" t="s">
        <v>15</v>
      </c>
      <c r="B6" t="s">
        <v>30</v>
      </c>
      <c r="C6" t="s">
        <v>17</v>
      </c>
      <c r="D6" t="s">
        <v>31</v>
      </c>
      <c r="E6" t="s">
        <v>27</v>
      </c>
      <c r="F6">
        <v>7</v>
      </c>
      <c r="G6">
        <v>45000</v>
      </c>
      <c r="H6">
        <v>8.1</v>
      </c>
      <c r="I6">
        <v>4.5999999999999996</v>
      </c>
      <c r="J6">
        <v>74</v>
      </c>
      <c r="K6">
        <v>26</v>
      </c>
      <c r="L6" s="1">
        <v>8.1000000000000003E-2</v>
      </c>
      <c r="M6" s="2">
        <v>0.74</v>
      </c>
      <c r="N6" s="2">
        <v>0.26</v>
      </c>
      <c r="O6" s="1">
        <v>0.65700000000000003</v>
      </c>
    </row>
    <row r="7" spans="1:15" x14ac:dyDescent="0.3">
      <c r="A7" t="s">
        <v>15</v>
      </c>
      <c r="B7" t="s">
        <v>32</v>
      </c>
      <c r="C7" t="s">
        <v>33</v>
      </c>
      <c r="D7" t="s">
        <v>34</v>
      </c>
      <c r="E7" t="s">
        <v>23</v>
      </c>
      <c r="F7">
        <v>11</v>
      </c>
      <c r="G7">
        <v>17000</v>
      </c>
      <c r="H7">
        <v>3.8</v>
      </c>
      <c r="I7">
        <v>4.2</v>
      </c>
      <c r="J7">
        <v>66</v>
      </c>
      <c r="K7">
        <v>19</v>
      </c>
      <c r="L7" s="1">
        <v>3.7999999999999999E-2</v>
      </c>
      <c r="M7" s="2">
        <v>0.66</v>
      </c>
      <c r="N7" s="2">
        <v>0.19</v>
      </c>
      <c r="O7" s="1">
        <v>0.38200000000000001</v>
      </c>
    </row>
    <row r="8" spans="1:15" x14ac:dyDescent="0.3">
      <c r="A8" t="s">
        <v>15</v>
      </c>
      <c r="B8" t="s">
        <v>35</v>
      </c>
      <c r="C8" t="s">
        <v>17</v>
      </c>
      <c r="D8" t="s">
        <v>36</v>
      </c>
      <c r="E8" t="s">
        <v>19</v>
      </c>
      <c r="F8">
        <v>8</v>
      </c>
      <c r="G8">
        <v>22000</v>
      </c>
      <c r="H8">
        <v>4.9000000000000004</v>
      </c>
      <c r="I8">
        <v>4.0999999999999996</v>
      </c>
      <c r="J8">
        <v>60</v>
      </c>
      <c r="K8">
        <v>18</v>
      </c>
      <c r="L8" s="1">
        <v>4.9000000000000002E-2</v>
      </c>
      <c r="M8" s="2">
        <v>0.6</v>
      </c>
      <c r="N8" s="2">
        <v>0.18</v>
      </c>
      <c r="O8" s="1">
        <v>0.51300000000000001</v>
      </c>
    </row>
    <row r="9" spans="1:15" x14ac:dyDescent="0.3">
      <c r="A9" t="s">
        <v>15</v>
      </c>
      <c r="B9" t="s">
        <v>37</v>
      </c>
      <c r="C9" t="s">
        <v>25</v>
      </c>
      <c r="D9" t="s">
        <v>38</v>
      </c>
      <c r="E9" t="s">
        <v>27</v>
      </c>
      <c r="F9">
        <v>10</v>
      </c>
      <c r="G9">
        <v>41000</v>
      </c>
      <c r="H9">
        <v>9.8000000000000007</v>
      </c>
      <c r="I9">
        <v>3.4</v>
      </c>
      <c r="J9">
        <v>56</v>
      </c>
      <c r="K9">
        <v>13</v>
      </c>
      <c r="L9" s="1">
        <v>9.8000000000000004E-2</v>
      </c>
      <c r="M9" s="2">
        <v>0.56000000000000005</v>
      </c>
      <c r="N9" s="2">
        <v>0.13</v>
      </c>
      <c r="O9" s="1">
        <v>0.34</v>
      </c>
    </row>
    <row r="10" spans="1:15" x14ac:dyDescent="0.3">
      <c r="A10" t="s">
        <v>39</v>
      </c>
      <c r="B10" t="s">
        <v>40</v>
      </c>
      <c r="C10" t="s">
        <v>17</v>
      </c>
      <c r="D10" t="s">
        <v>41</v>
      </c>
      <c r="E10" t="s">
        <v>19</v>
      </c>
      <c r="F10">
        <v>7</v>
      </c>
      <c r="G10">
        <v>62000</v>
      </c>
      <c r="H10">
        <v>8.4</v>
      </c>
      <c r="I10">
        <v>5.3</v>
      </c>
      <c r="J10">
        <v>78</v>
      </c>
      <c r="K10">
        <v>31</v>
      </c>
      <c r="L10" s="1">
        <v>8.4000000000000005E-2</v>
      </c>
      <c r="M10" s="2">
        <v>0.78</v>
      </c>
      <c r="N10" s="2">
        <v>0.31</v>
      </c>
      <c r="O10" s="1">
        <v>0.75700000000000001</v>
      </c>
    </row>
    <row r="11" spans="1:15" x14ac:dyDescent="0.3">
      <c r="A11" t="s">
        <v>39</v>
      </c>
      <c r="B11" t="s">
        <v>42</v>
      </c>
      <c r="C11" t="s">
        <v>21</v>
      </c>
      <c r="D11" t="s">
        <v>43</v>
      </c>
      <c r="E11" t="s">
        <v>23</v>
      </c>
      <c r="F11">
        <v>14</v>
      </c>
      <c r="G11">
        <v>51000</v>
      </c>
      <c r="H11">
        <v>5.2</v>
      </c>
      <c r="I11">
        <v>7.9</v>
      </c>
      <c r="J11">
        <v>86</v>
      </c>
      <c r="K11">
        <v>46</v>
      </c>
      <c r="L11" s="1">
        <v>5.1999999999999998E-2</v>
      </c>
      <c r="M11" s="2">
        <v>0.86</v>
      </c>
      <c r="N11" s="2">
        <v>0.46</v>
      </c>
      <c r="O11" s="1">
        <v>0.56399999999999995</v>
      </c>
    </row>
    <row r="12" spans="1:15" x14ac:dyDescent="0.3">
      <c r="A12" t="s">
        <v>39</v>
      </c>
      <c r="B12" t="s">
        <v>44</v>
      </c>
      <c r="C12" t="s">
        <v>25</v>
      </c>
      <c r="D12" t="s">
        <v>45</v>
      </c>
      <c r="E12" t="s">
        <v>27</v>
      </c>
      <c r="F12">
        <v>11</v>
      </c>
      <c r="G12">
        <v>69000</v>
      </c>
      <c r="H12">
        <v>10.1</v>
      </c>
      <c r="I12">
        <v>3.5</v>
      </c>
      <c r="J12">
        <v>55</v>
      </c>
      <c r="K12">
        <v>12</v>
      </c>
      <c r="L12" s="1">
        <v>0.10100000000000001</v>
      </c>
      <c r="M12" s="2">
        <v>0.55000000000000004</v>
      </c>
      <c r="N12" s="2">
        <v>0.12</v>
      </c>
      <c r="O12" s="1">
        <v>0.318</v>
      </c>
    </row>
    <row r="13" spans="1:15" x14ac:dyDescent="0.3">
      <c r="A13" t="s">
        <v>39</v>
      </c>
      <c r="B13" t="s">
        <v>46</v>
      </c>
      <c r="C13" t="s">
        <v>21</v>
      </c>
      <c r="D13" t="s">
        <v>47</v>
      </c>
      <c r="E13" t="s">
        <v>19</v>
      </c>
      <c r="F13">
        <v>15</v>
      </c>
      <c r="G13">
        <v>47000</v>
      </c>
      <c r="H13">
        <v>4.8</v>
      </c>
      <c r="I13">
        <v>8.1</v>
      </c>
      <c r="J13">
        <v>87</v>
      </c>
      <c r="K13">
        <v>48</v>
      </c>
      <c r="L13" s="1">
        <v>4.8000000000000001E-2</v>
      </c>
      <c r="M13" s="2">
        <v>0.87</v>
      </c>
      <c r="N13" s="2">
        <v>0.48</v>
      </c>
      <c r="O13" s="1">
        <v>0.54</v>
      </c>
    </row>
    <row r="14" spans="1:15" x14ac:dyDescent="0.3">
      <c r="A14" t="s">
        <v>39</v>
      </c>
      <c r="B14" t="s">
        <v>48</v>
      </c>
      <c r="C14" t="s">
        <v>33</v>
      </c>
      <c r="D14" t="s">
        <v>49</v>
      </c>
      <c r="E14" t="s">
        <v>23</v>
      </c>
      <c r="F14">
        <v>9</v>
      </c>
      <c r="G14">
        <v>36000</v>
      </c>
      <c r="H14">
        <v>3.6</v>
      </c>
      <c r="I14">
        <v>4</v>
      </c>
      <c r="J14">
        <v>65</v>
      </c>
      <c r="K14">
        <v>20</v>
      </c>
      <c r="L14" s="1">
        <v>3.5999999999999997E-2</v>
      </c>
      <c r="M14" s="2">
        <v>0.65</v>
      </c>
      <c r="N14" s="2">
        <v>0.2</v>
      </c>
      <c r="O14" s="1">
        <v>0.44400000000000001</v>
      </c>
    </row>
    <row r="15" spans="1:15" x14ac:dyDescent="0.3">
      <c r="A15" t="s">
        <v>39</v>
      </c>
      <c r="B15" t="s">
        <v>50</v>
      </c>
      <c r="C15" t="s">
        <v>17</v>
      </c>
      <c r="D15" t="s">
        <v>51</v>
      </c>
      <c r="E15" t="s">
        <v>27</v>
      </c>
      <c r="F15">
        <v>8</v>
      </c>
      <c r="G15">
        <v>40000</v>
      </c>
      <c r="H15">
        <v>6.2</v>
      </c>
      <c r="I15">
        <v>4.7</v>
      </c>
      <c r="J15">
        <v>70</v>
      </c>
      <c r="K15">
        <v>25</v>
      </c>
      <c r="L15" s="1">
        <v>6.2E-2</v>
      </c>
      <c r="M15" s="2">
        <v>0.7</v>
      </c>
      <c r="N15" s="2">
        <v>0.25</v>
      </c>
      <c r="O15" s="1">
        <v>0.58799999999999997</v>
      </c>
    </row>
    <row r="16" spans="1:15" x14ac:dyDescent="0.3">
      <c r="A16" t="s">
        <v>39</v>
      </c>
      <c r="B16" t="s">
        <v>52</v>
      </c>
      <c r="C16" t="s">
        <v>21</v>
      </c>
      <c r="D16" t="s">
        <v>53</v>
      </c>
      <c r="E16" t="s">
        <v>19</v>
      </c>
      <c r="F16">
        <v>13</v>
      </c>
      <c r="G16">
        <v>52000</v>
      </c>
      <c r="H16">
        <v>5.5</v>
      </c>
      <c r="I16">
        <v>7.4</v>
      </c>
      <c r="J16">
        <v>84</v>
      </c>
      <c r="K16">
        <v>43</v>
      </c>
      <c r="L16" s="1">
        <v>5.5E-2</v>
      </c>
      <c r="M16" s="2">
        <v>0.84</v>
      </c>
      <c r="N16" s="2">
        <v>0.43</v>
      </c>
      <c r="O16" s="1">
        <v>0.56899999999999995</v>
      </c>
    </row>
    <row r="17" spans="1:15" x14ac:dyDescent="0.3">
      <c r="A17" t="s">
        <v>39</v>
      </c>
      <c r="B17" t="s">
        <v>54</v>
      </c>
      <c r="C17" t="s">
        <v>25</v>
      </c>
      <c r="D17" t="s">
        <v>55</v>
      </c>
      <c r="E17" t="s">
        <v>27</v>
      </c>
      <c r="F17">
        <v>10</v>
      </c>
      <c r="G17">
        <v>58000</v>
      </c>
      <c r="H17">
        <v>9.6</v>
      </c>
      <c r="I17">
        <v>3.8</v>
      </c>
      <c r="J17">
        <v>58</v>
      </c>
      <c r="K17">
        <v>16</v>
      </c>
      <c r="L17" s="1">
        <v>9.6000000000000002E-2</v>
      </c>
      <c r="M17" s="2">
        <v>0.57999999999999996</v>
      </c>
      <c r="N17" s="2">
        <v>0.16</v>
      </c>
      <c r="O17" s="1">
        <v>0.38</v>
      </c>
    </row>
    <row r="18" spans="1:15" x14ac:dyDescent="0.3">
      <c r="A18" t="s">
        <v>56</v>
      </c>
      <c r="B18" t="s">
        <v>57</v>
      </c>
      <c r="C18" t="s">
        <v>17</v>
      </c>
      <c r="D18" t="s">
        <v>58</v>
      </c>
      <c r="E18" t="s">
        <v>19</v>
      </c>
      <c r="F18">
        <v>6</v>
      </c>
      <c r="G18">
        <v>59000</v>
      </c>
      <c r="H18">
        <v>8.9</v>
      </c>
      <c r="I18">
        <v>4.9000000000000004</v>
      </c>
      <c r="J18">
        <v>76</v>
      </c>
      <c r="K18">
        <v>29</v>
      </c>
      <c r="L18" s="1">
        <v>8.8999999999999996E-2</v>
      </c>
      <c r="M18" s="2">
        <v>0.76</v>
      </c>
      <c r="N18" s="2">
        <v>0.28999999999999998</v>
      </c>
      <c r="O18" s="1">
        <v>0.81699999999999995</v>
      </c>
    </row>
    <row r="19" spans="1:15" x14ac:dyDescent="0.3">
      <c r="A19" t="s">
        <v>56</v>
      </c>
      <c r="B19" t="s">
        <v>59</v>
      </c>
      <c r="C19" t="s">
        <v>21</v>
      </c>
      <c r="D19" t="s">
        <v>60</v>
      </c>
      <c r="E19" t="s">
        <v>23</v>
      </c>
      <c r="F19">
        <v>15</v>
      </c>
      <c r="G19">
        <v>48000</v>
      </c>
      <c r="H19">
        <v>5</v>
      </c>
      <c r="I19">
        <v>8.1999999999999993</v>
      </c>
      <c r="J19">
        <v>88</v>
      </c>
      <c r="K19">
        <v>49</v>
      </c>
      <c r="L19" s="1">
        <v>0.05</v>
      </c>
      <c r="M19" s="2">
        <v>0.88</v>
      </c>
      <c r="N19" s="2">
        <v>0.49</v>
      </c>
      <c r="O19" s="1">
        <v>0.54700000000000004</v>
      </c>
    </row>
    <row r="20" spans="1:15" x14ac:dyDescent="0.3">
      <c r="A20" t="s">
        <v>56</v>
      </c>
      <c r="B20" t="s">
        <v>61</v>
      </c>
      <c r="C20" t="s">
        <v>25</v>
      </c>
      <c r="D20" t="s">
        <v>62</v>
      </c>
      <c r="E20" t="s">
        <v>27</v>
      </c>
      <c r="F20">
        <v>9</v>
      </c>
      <c r="G20">
        <v>64000</v>
      </c>
      <c r="H20">
        <v>10.4</v>
      </c>
      <c r="I20">
        <v>3.2</v>
      </c>
      <c r="J20">
        <v>53</v>
      </c>
      <c r="K20">
        <v>10</v>
      </c>
      <c r="L20" s="1">
        <v>0.104</v>
      </c>
      <c r="M20" s="2">
        <v>0.53</v>
      </c>
      <c r="N20" s="2">
        <v>0.1</v>
      </c>
      <c r="O20" s="1">
        <v>0.35599999999999998</v>
      </c>
    </row>
    <row r="21" spans="1:15" x14ac:dyDescent="0.3">
      <c r="A21" t="s">
        <v>56</v>
      </c>
      <c r="B21" t="s">
        <v>63</v>
      </c>
      <c r="C21" t="s">
        <v>21</v>
      </c>
      <c r="D21" t="s">
        <v>64</v>
      </c>
      <c r="E21" t="s">
        <v>19</v>
      </c>
      <c r="F21">
        <v>12</v>
      </c>
      <c r="G21">
        <v>45000</v>
      </c>
      <c r="H21">
        <v>4.5999999999999996</v>
      </c>
      <c r="I21">
        <v>7.6</v>
      </c>
      <c r="J21">
        <v>83</v>
      </c>
      <c r="K21">
        <v>42</v>
      </c>
      <c r="L21" s="1">
        <v>4.5999999999999999E-2</v>
      </c>
      <c r="M21" s="2">
        <v>0.83</v>
      </c>
      <c r="N21" s="2">
        <v>0.42</v>
      </c>
      <c r="O21" s="1">
        <v>0.63300000000000001</v>
      </c>
    </row>
    <row r="22" spans="1:15" x14ac:dyDescent="0.3">
      <c r="A22" t="s">
        <v>56</v>
      </c>
      <c r="B22" t="s">
        <v>65</v>
      </c>
      <c r="C22" t="s">
        <v>33</v>
      </c>
      <c r="D22" t="s">
        <v>66</v>
      </c>
      <c r="E22" t="s">
        <v>23</v>
      </c>
      <c r="F22">
        <v>10</v>
      </c>
      <c r="G22">
        <v>33000</v>
      </c>
      <c r="H22">
        <v>3.4</v>
      </c>
      <c r="I22">
        <v>4.0999999999999996</v>
      </c>
      <c r="J22">
        <v>64</v>
      </c>
      <c r="K22">
        <v>18</v>
      </c>
      <c r="L22" s="1">
        <v>3.4000000000000002E-2</v>
      </c>
      <c r="M22" s="2">
        <v>0.64</v>
      </c>
      <c r="N22" s="2">
        <v>0.18</v>
      </c>
      <c r="O22" s="1">
        <v>0.41</v>
      </c>
    </row>
    <row r="23" spans="1:15" x14ac:dyDescent="0.3">
      <c r="A23" t="s">
        <v>56</v>
      </c>
      <c r="B23" t="s">
        <v>67</v>
      </c>
      <c r="C23" t="s">
        <v>17</v>
      </c>
      <c r="D23" t="s">
        <v>68</v>
      </c>
      <c r="E23" t="s">
        <v>27</v>
      </c>
      <c r="F23">
        <v>7</v>
      </c>
      <c r="G23">
        <v>61000</v>
      </c>
      <c r="H23">
        <v>8</v>
      </c>
      <c r="I23">
        <v>5.2</v>
      </c>
      <c r="J23">
        <v>78</v>
      </c>
      <c r="K23">
        <v>30</v>
      </c>
      <c r="L23" s="1">
        <v>0.08</v>
      </c>
      <c r="M23" s="2">
        <v>0.78</v>
      </c>
      <c r="N23" s="2">
        <v>0.3</v>
      </c>
      <c r="O23" s="1">
        <v>0.74299999999999999</v>
      </c>
    </row>
    <row r="24" spans="1:15" x14ac:dyDescent="0.3">
      <c r="A24" t="s">
        <v>56</v>
      </c>
      <c r="B24" t="s">
        <v>69</v>
      </c>
      <c r="C24" t="s">
        <v>21</v>
      </c>
      <c r="D24" t="s">
        <v>70</v>
      </c>
      <c r="E24" t="s">
        <v>19</v>
      </c>
      <c r="F24">
        <v>14</v>
      </c>
      <c r="G24">
        <v>49000</v>
      </c>
      <c r="H24">
        <v>5.3</v>
      </c>
      <c r="I24">
        <v>7.9</v>
      </c>
      <c r="J24">
        <v>86</v>
      </c>
      <c r="K24">
        <v>47</v>
      </c>
      <c r="L24" s="1">
        <v>5.2999999999999999E-2</v>
      </c>
      <c r="M24" s="2">
        <v>0.86</v>
      </c>
      <c r="N24" s="2">
        <v>0.47</v>
      </c>
      <c r="O24" s="1">
        <v>0.56399999999999995</v>
      </c>
    </row>
    <row r="25" spans="1:15" x14ac:dyDescent="0.3">
      <c r="A25" t="s">
        <v>56</v>
      </c>
      <c r="B25" t="s">
        <v>71</v>
      </c>
      <c r="C25" t="s">
        <v>25</v>
      </c>
      <c r="D25" t="s">
        <v>72</v>
      </c>
      <c r="E25" t="s">
        <v>27</v>
      </c>
      <c r="F25">
        <v>11</v>
      </c>
      <c r="G25">
        <v>67000</v>
      </c>
      <c r="H25">
        <v>9.9</v>
      </c>
      <c r="I25">
        <v>3.6</v>
      </c>
      <c r="J25">
        <v>57</v>
      </c>
      <c r="K25">
        <v>15</v>
      </c>
      <c r="L25" s="1">
        <v>9.9000000000000005E-2</v>
      </c>
      <c r="M25" s="2">
        <v>0.56999999999999995</v>
      </c>
      <c r="N25" s="2">
        <v>0.15</v>
      </c>
      <c r="O25" s="1">
        <v>0.32700000000000001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49190-2C39-4E83-92F6-E06DCD99802B}">
  <dimension ref="A1:AB40"/>
  <sheetViews>
    <sheetView tabSelected="1" zoomScale="80" zoomScaleNormal="80" workbookViewId="0">
      <selection activeCell="AB37" sqref="AB37"/>
    </sheetView>
  </sheetViews>
  <sheetFormatPr defaultRowHeight="14.4" x14ac:dyDescent="0.3"/>
  <cols>
    <col min="1" max="1" width="5.6640625" style="3" customWidth="1"/>
    <col min="2" max="2" width="13.33203125" bestFit="1" customWidth="1"/>
    <col min="3" max="3" width="7.44140625" bestFit="1" customWidth="1"/>
    <col min="4" max="4" width="18.33203125" bestFit="1" customWidth="1"/>
    <col min="13" max="13" width="15.77734375" customWidth="1"/>
    <col min="14" max="14" width="22.88671875" customWidth="1"/>
    <col min="15" max="15" width="18.77734375" customWidth="1"/>
  </cols>
  <sheetData>
    <row r="1" spans="2:28" ht="39" customHeight="1" x14ac:dyDescent="0.3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2:28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2:28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2:28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2:28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2:28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2:28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2:28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2:28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2:28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2:28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2:28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2:28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2:28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2:28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2:28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2:28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2:28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2:28" x14ac:dyDescent="0.3">
      <c r="B19" s="3" t="s">
        <v>79</v>
      </c>
      <c r="C19" s="3" t="s">
        <v>74</v>
      </c>
      <c r="D19" s="3" t="s">
        <v>81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2:28" x14ac:dyDescent="0.3">
      <c r="B20" s="4" t="s">
        <v>21</v>
      </c>
      <c r="C20" s="5">
        <v>5.1124999999999997E-2</v>
      </c>
      <c r="D20" s="6">
        <v>0.84500000000000008</v>
      </c>
      <c r="E20" s="3"/>
      <c r="F20" s="3"/>
      <c r="G20" s="3"/>
      <c r="H20" s="3"/>
      <c r="I20" s="3"/>
      <c r="J20" s="3"/>
      <c r="K20" s="3"/>
      <c r="L20" s="3"/>
      <c r="M20" s="3"/>
      <c r="N20" s="3" t="s">
        <v>82</v>
      </c>
      <c r="O20" s="3" t="s">
        <v>77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2:28" x14ac:dyDescent="0.3">
      <c r="B21" s="4" t="s">
        <v>25</v>
      </c>
      <c r="C21" s="5">
        <v>9.849999999999999E-2</v>
      </c>
      <c r="D21" s="6">
        <v>0.55499999999999994</v>
      </c>
      <c r="E21" s="3"/>
      <c r="F21" s="3"/>
      <c r="G21" s="3"/>
      <c r="H21" s="3"/>
      <c r="I21" s="3"/>
      <c r="J21" s="3"/>
      <c r="K21" s="3"/>
      <c r="L21" s="3"/>
      <c r="M21" s="3"/>
      <c r="N21" s="4" t="s">
        <v>75</v>
      </c>
      <c r="O21" s="5">
        <v>0.58080000000000009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2:28" x14ac:dyDescent="0.3">
      <c r="B22" s="4" t="s">
        <v>17</v>
      </c>
      <c r="C22" s="5">
        <v>7.4428571428571427E-2</v>
      </c>
      <c r="D22" s="6">
        <v>0.72571428571428576</v>
      </c>
      <c r="E22" s="3"/>
      <c r="F22" s="3"/>
      <c r="G22" s="3"/>
      <c r="H22" s="3"/>
      <c r="I22" s="3"/>
      <c r="J22" s="3"/>
      <c r="K22" s="3"/>
      <c r="L22" s="3"/>
      <c r="M22" s="3"/>
      <c r="N22" s="4" t="s">
        <v>76</v>
      </c>
      <c r="O22" s="5">
        <v>0.48685714285714282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2:28" x14ac:dyDescent="0.3">
      <c r="B23" s="4" t="s">
        <v>33</v>
      </c>
      <c r="C23" s="5">
        <v>3.5999999999999997E-2</v>
      </c>
      <c r="D23" s="6">
        <v>0.65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2:28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2:28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2:28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2:28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2:28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2:28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2:28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2:28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2:28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2:28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2:28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2:28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2:28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2:28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2:28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2:28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9F7E-4527-47ED-9AAF-BA1BC722E486}">
  <dimension ref="A1:AA37"/>
  <sheetViews>
    <sheetView zoomScale="85" zoomScaleNormal="85" workbookViewId="0">
      <selection activeCell="AQ35" sqref="AQ35"/>
    </sheetView>
  </sheetViews>
  <sheetFormatPr defaultRowHeight="14.4" x14ac:dyDescent="0.3"/>
  <cols>
    <col min="1" max="1" width="4.6640625" style="3" customWidth="1"/>
    <col min="2" max="2" width="12.44140625" bestFit="1" customWidth="1"/>
    <col min="3" max="3" width="16.6640625" bestFit="1" customWidth="1"/>
    <col min="4" max="4" width="7.5546875" bestFit="1" customWidth="1"/>
    <col min="14" max="14" width="24" bestFit="1" customWidth="1"/>
    <col min="15" max="15" width="16.5546875" bestFit="1" customWidth="1"/>
    <col min="16" max="16" width="7.5546875" bestFit="1" customWidth="1"/>
  </cols>
  <sheetData>
    <row r="1" spans="2:27" ht="52.2" customHeight="1" x14ac:dyDescent="0.3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2:27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27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2:27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27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2:27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2:2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2:2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2:27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2:27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2:27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2:27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2:27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2:27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2:27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2:27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2:27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2:27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2:27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2:27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2:27" x14ac:dyDescent="0.3">
      <c r="B23" s="3" t="s">
        <v>79</v>
      </c>
      <c r="C23" s="3" t="s">
        <v>78</v>
      </c>
      <c r="D23" s="3" t="s">
        <v>74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2:27" x14ac:dyDescent="0.3">
      <c r="B24" s="4" t="s">
        <v>21</v>
      </c>
      <c r="C24" s="6">
        <v>0.4425</v>
      </c>
      <c r="D24" s="5">
        <v>5.1124999999999997E-2</v>
      </c>
      <c r="E24" s="3"/>
      <c r="F24" s="3"/>
      <c r="G24" s="3"/>
      <c r="H24" s="3"/>
      <c r="I24" s="3"/>
      <c r="J24" s="3"/>
      <c r="K24" s="3"/>
      <c r="L24" s="3"/>
      <c r="M24" s="3"/>
      <c r="N24" s="3" t="s">
        <v>80</v>
      </c>
      <c r="O24" s="3" t="s">
        <v>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2:27" x14ac:dyDescent="0.3">
      <c r="B25" s="4" t="s">
        <v>25</v>
      </c>
      <c r="C25" s="6">
        <v>0.12833333333333333</v>
      </c>
      <c r="D25" s="5">
        <v>9.849999999999999E-2</v>
      </c>
      <c r="E25" s="3"/>
      <c r="F25" s="3"/>
      <c r="G25" s="3"/>
      <c r="H25" s="3"/>
      <c r="I25" s="3"/>
      <c r="J25" s="3"/>
      <c r="K25" s="3"/>
      <c r="L25" s="3"/>
      <c r="M25" s="3"/>
      <c r="N25" s="4" t="s">
        <v>49</v>
      </c>
      <c r="O25" s="5">
        <v>3.5999999999999997E-2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2:27" x14ac:dyDescent="0.3">
      <c r="B26" s="4" t="s">
        <v>17</v>
      </c>
      <c r="C26" s="6">
        <v>0.26142857142857145</v>
      </c>
      <c r="D26" s="5">
        <v>7.4428571428571427E-2</v>
      </c>
      <c r="E26" s="3"/>
      <c r="F26" s="3"/>
      <c r="G26" s="3"/>
      <c r="H26" s="3"/>
      <c r="I26" s="3"/>
      <c r="J26" s="3"/>
      <c r="K26" s="3"/>
      <c r="L26" s="3"/>
      <c r="M26" s="3"/>
      <c r="N26" s="4" t="s">
        <v>66</v>
      </c>
      <c r="O26" s="5">
        <v>3.4000000000000002E-2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2:27" x14ac:dyDescent="0.3">
      <c r="B27" s="4" t="s">
        <v>33</v>
      </c>
      <c r="C27" s="6">
        <v>0.19000000000000003</v>
      </c>
      <c r="D27" s="5">
        <v>3.5999999999999997E-2</v>
      </c>
      <c r="E27" s="3"/>
      <c r="F27" s="3"/>
      <c r="G27" s="3"/>
      <c r="H27" s="3"/>
      <c r="I27" s="3"/>
      <c r="J27" s="3"/>
      <c r="K27" s="3"/>
      <c r="L27" s="3"/>
      <c r="M27" s="3"/>
      <c r="N27" s="4" t="s">
        <v>47</v>
      </c>
      <c r="O27" s="5">
        <v>4.8000000000000001E-2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2:27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 t="s">
        <v>64</v>
      </c>
      <c r="O28" s="5">
        <v>4.5999999999999999E-2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2:27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 t="s">
        <v>34</v>
      </c>
      <c r="O29" s="5">
        <v>3.7999999999999999E-2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2:27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2:27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2:27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2:27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2:27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2:27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2:27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2:27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886C-D486-4D60-9B8E-DD7FC5CDB5D0}">
  <dimension ref="A1:U34"/>
  <sheetViews>
    <sheetView workbookViewId="0">
      <selection activeCell="S28" sqref="S28"/>
    </sheetView>
  </sheetViews>
  <sheetFormatPr defaultRowHeight="14.4" x14ac:dyDescent="0.3"/>
  <cols>
    <col min="2" max="2" width="11.33203125" bestFit="1" customWidth="1"/>
    <col min="3" max="3" width="7.44140625" bestFit="1" customWidth="1"/>
    <col min="4" max="4" width="19.5546875" bestFit="1" customWidth="1"/>
    <col min="5" max="5" width="17.88671875" customWidth="1"/>
    <col min="12" max="12" width="11.33203125" bestFit="1" customWidth="1"/>
    <col min="13" max="13" width="7.44140625" bestFit="1" customWidth="1"/>
    <col min="14" max="14" width="20" bestFit="1" customWidth="1"/>
    <col min="15" max="15" width="18.77734375" bestFit="1" customWidth="1"/>
  </cols>
  <sheetData>
    <row r="1" spans="1:2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 t="s">
        <v>79</v>
      </c>
      <c r="M6" s="3" t="s">
        <v>74</v>
      </c>
      <c r="N6" s="3" t="s">
        <v>83</v>
      </c>
      <c r="O6" s="3" t="s">
        <v>77</v>
      </c>
      <c r="P6" s="3"/>
      <c r="Q6" s="3"/>
      <c r="R6" s="3"/>
      <c r="S6" s="3"/>
      <c r="T6" s="3"/>
      <c r="U6" s="3"/>
    </row>
    <row r="7" spans="1:2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4" t="s">
        <v>21</v>
      </c>
      <c r="M7" s="8">
        <v>5.1124999999999997E-2</v>
      </c>
      <c r="N7" s="7">
        <v>7.5875000000000004</v>
      </c>
      <c r="O7" s="8">
        <v>0.58237500000000009</v>
      </c>
      <c r="P7" s="3"/>
      <c r="Q7" s="3"/>
      <c r="R7" s="3"/>
      <c r="S7" s="3"/>
      <c r="T7" s="3"/>
      <c r="U7" s="3"/>
    </row>
    <row r="8" spans="1:2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4" t="s">
        <v>25</v>
      </c>
      <c r="M8" s="8">
        <v>9.849999999999999E-2</v>
      </c>
      <c r="N8" s="7">
        <v>3.4166666666666665</v>
      </c>
      <c r="O8" s="8">
        <v>0.34233333333333332</v>
      </c>
      <c r="P8" s="3"/>
      <c r="Q8" s="3"/>
      <c r="R8" s="3"/>
      <c r="S8" s="3"/>
      <c r="T8" s="3"/>
      <c r="U8" s="3"/>
    </row>
    <row r="9" spans="1:2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4" t="s">
        <v>17</v>
      </c>
      <c r="M9" s="8">
        <v>7.4428571428571427E-2</v>
      </c>
      <c r="N9" s="7">
        <v>4.8</v>
      </c>
      <c r="O9" s="8">
        <v>0.66785714285714293</v>
      </c>
      <c r="P9" s="3"/>
      <c r="Q9" s="3"/>
      <c r="R9" s="3"/>
      <c r="S9" s="3"/>
      <c r="T9" s="3"/>
      <c r="U9" s="3"/>
    </row>
    <row r="10" spans="1:2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4" t="s">
        <v>33</v>
      </c>
      <c r="M10" s="8">
        <v>3.5999999999999997E-2</v>
      </c>
      <c r="N10" s="7">
        <v>4.0999999999999996</v>
      </c>
      <c r="O10" s="8">
        <v>0.41199999999999998</v>
      </c>
      <c r="P10" s="3"/>
      <c r="Q10" s="3"/>
      <c r="R10" s="3"/>
      <c r="S10" s="3"/>
      <c r="T10" s="3"/>
      <c r="U10" s="3"/>
    </row>
    <row r="11" spans="1:2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24hr project</vt:lpstr>
      <vt:lpstr>Positive Insights </vt:lpstr>
      <vt:lpstr>Negative Insights</vt:lpstr>
      <vt:lpstr>Surprising Insight</vt:lpstr>
      <vt:lpstr>Yt_data1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Swarnkar</dc:creator>
  <cp:lastModifiedBy>Palak Swarnkar</cp:lastModifiedBy>
  <dcterms:created xsi:type="dcterms:W3CDTF">2026-01-16T11:51:20Z</dcterms:created>
  <dcterms:modified xsi:type="dcterms:W3CDTF">2026-01-16T13:52:16Z</dcterms:modified>
</cp:coreProperties>
</file>